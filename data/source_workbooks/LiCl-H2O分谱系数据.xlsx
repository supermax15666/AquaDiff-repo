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e4bbe9fa0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rmed_Records" sheetId="1" r:id="R61e879e72b0c4b32"/>
    <x:sheet xmlns:r="http://schemas.openxmlformats.org/officeDocument/2006/relationships" name="Lineage_Summary" sheetId="2" r:id="R4e3c2a73415b431b"/>
    <x:sheet xmlns:r="http://schemas.openxmlformats.org/officeDocument/2006/relationships" name="Audit_Detail" sheetId="3" r:id="R3a122c211b794da9"/>
    <x:sheet xmlns:r="http://schemas.openxmlformats.org/officeDocument/2006/relationships" name="Source_Audit" sheetId="4" r:id="R9ce6477b9580497d"/>
    <x:sheet xmlns:r="http://schemas.openxmlformats.org/officeDocument/2006/relationships" name="README" sheetId="5" r:id="R365822ca2605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00"/>
    <x:numFmt numFmtId="202" formatCode="0.0000"/>
    <x:numFmt numFmtId="203" formatCode="0"/>
  </x:numFmts>
  <x:fonts count="5">
    <x:font>
      <x:sz val="11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375623"/>
      </x:patternFill>
    </x:fill>
  </x:fills>
  <x:borders count="4">
    <x:border/>
    <x:border>
      <x:left style="thin">
        <x:color rgb="FFA8B89A"/>
      </x:left>
      <x:top style="thin">
        <x:color rgb="FFA8B89A"/>
      </x:top>
      <x:bottom style="thin">
        <x:color rgb="FFA8B89A"/>
      </x:bottom>
    </x:border>
    <x:border>
      <x:top style="thin">
        <x:color rgb="FFA8B89A"/>
      </x:top>
      <x:bottom style="thin">
        <x:color rgb="FFA8B89A"/>
      </x:bottom>
    </x:border>
    <x:border>
      <x:right style="thin">
        <x:color rgb="FFA8B89A"/>
      </x:right>
      <x:top style="thin">
        <x:color rgb="FFA8B89A"/>
      </x:top>
      <x:bottom style="thin">
        <x:color rgb="FFA8B89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ill>
        <x:patternFill>
          <x:bgColor rgb="FFF2F2F2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2F2F2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d0d4e4c74484b" /><Relationship Type="http://schemas.openxmlformats.org/officeDocument/2006/relationships/theme" Target="/xl/theme/theme1.xml" Id="Rca312c7c48e34024" /><Relationship Type="http://schemas.openxmlformats.org/officeDocument/2006/relationships/sharedStrings" Target="/xl/sharedStrings.xml" Id="R74987fcf65ac4e0b" /><Relationship Type="http://schemas.openxmlformats.org/officeDocument/2006/relationships/worksheet" Target="/xl/worksheets/sheet1.xml" Id="R61e879e72b0c4b32" /><Relationship Type="http://schemas.openxmlformats.org/officeDocument/2006/relationships/worksheet" Target="/xl/worksheets/sheet2.xml" Id="R4e3c2a73415b431b" /><Relationship Type="http://schemas.openxmlformats.org/officeDocument/2006/relationships/worksheet" Target="/xl/worksheets/sheet3.xml" Id="R3a122c211b794da9" /><Relationship Type="http://schemas.openxmlformats.org/officeDocument/2006/relationships/worksheet" Target="/xl/worksheets/sheet4.xml" Id="R9ce6477b9580497d" /><Relationship Type="http://schemas.openxmlformats.org/officeDocument/2006/relationships/worksheet" Target="/xl/worksheets/sheet5.xml" Id="R365822ca260541c7" /></Relationships>
</file>

<file path=xl/tables/table1.xml><?xml version="1.0" encoding="utf-8"?>
<x:table xmlns:x="http://schemas.openxmlformats.org/spreadsheetml/2006/main" id="1" name="LiClConfirmedRecords" displayName="LiClConfirmedRecords" ref="A1:G153" headerRowCount="1" totalsRowCount="0" totalsRowShown="0">
  <x:autoFilter ref="A1:G153"/>
  <x:tableColumns count="7">
    <x:tableColumn id="1" name="system"/>
    <x:tableColumn id="2" name="temperature_K"/>
    <x:tableColumn id="3" name="concentration_mol_L"/>
    <x:tableColumn id="4" name="diffusion_1e9_m2_s"/>
    <x:tableColumn id="5" name="lobo_ref_no"/>
    <x:tableColumn id="6" name="model_group_id"/>
    <x:tableColumn id="7" name="original_referenc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LiClLineageSummary" displayName="LiClLineageSummary" ref="A1:I7" headerRowCount="1" totalsRowCount="0" totalsRowShown="0">
  <x:autoFilter ref="A1:I7"/>
  <x:tableColumns count="9">
    <x:tableColumn id="1" name="system"/>
    <x:tableColumn id="2" name="model_group_id"/>
    <x:tableColumn id="3" name="lobo_ref_no"/>
    <x:tableColumn id="4" name="record_count"/>
    <x:tableColumn id="5" name="temperature_min_K"/>
    <x:tableColumn id="6" name="temperature_max_K"/>
    <x:tableColumn id="7" name="concentration_min_mol_L"/>
    <x:tableColumn id="8" name="concentration_max_mol_L"/>
    <x:tableColumn id="9" name="original_referenc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LiClAuditDetail" displayName="LiClAuditDetail" ref="A1:V153" headerRowCount="1" totalsRowCount="0" totalsRowShown="0">
  <x:autoFilter ref="A1:V153"/>
  <x:tableColumns count="22">
    <x:tableColumn id="1" name="record_id"/>
    <x:tableColumn id="2" name="system"/>
    <x:tableColumn id="3" name="temperature_K"/>
    <x:tableColumn id="4" name="concentration_mol_L"/>
    <x:tableColumn id="5" name="diffusion_1e9_m2_s"/>
    <x:tableColumn id="6" name="origin_lineage_id"/>
    <x:tableColumn id="7" name="record_provenance_id"/>
    <x:tableColumn id="8" name="lineage_type"/>
    <x:tableColumn id="9" name="lobo_ref_no"/>
    <x:tableColumn id="10" name="underlying_reference"/>
    <x:tableColumn id="11" name="record_source_reference"/>
    <x:tableColumn id="12" name="original_source_description"/>
    <x:tableColumn id="13" name="recorded_doi"/>
    <x:tableColumn id="14" name="audited_source_file"/>
    <x:tableColumn id="15" name="source_locator"/>
    <x:tableColumn id="16" name="verification_level"/>
    <x:tableColumn id="17" name="primary_model_status"/>
    <x:tableColumn id="18" name="evaluation_role"/>
    <x:tableColumn id="19" name="condition_group_id"/>
    <x:tableColumn id="20" name="same_condition_record_count"/>
    <x:tableColumn id="21" name="same_condition_flag"/>
    <x:tableColumn id="22" name="lineage_not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LiClSourceAudit" displayName="LiClSourceAudit" ref="A1:R7" headerRowCount="1" totalsRowCount="0" totalsRowShown="0">
  <x:autoFilter ref="A1:R7"/>
  <x:tableColumns count="18">
    <x:tableColumn id="1" name="origin_lineage_id"/>
    <x:tableColumn id="2" name="lineage_types"/>
    <x:tableColumn id="3" name="record_provenance_ids"/>
    <x:tableColumn id="4" name="record_count"/>
    <x:tableColumn id="5" name="primary_candidate_record_count"/>
    <x:tableColumn id="6" name="excluded_derived_record_count"/>
    <x:tableColumn id="7" name="unique_condition_count"/>
    <x:tableColumn id="8" name="temperature_level_count"/>
    <x:tableColumn id="9" name="temperature_range_K"/>
    <x:tableColumn id="10" name="concentration_range_mol_L"/>
    <x:tableColumn id="11" name="underlying_reference"/>
    <x:tableColumn id="12" name="recorded_doi_values"/>
    <x:tableColumn id="13" name="audited_source_files"/>
    <x:tableColumn id="14" name="source_locators"/>
    <x:tableColumn id="15" name="verification_levels"/>
    <x:tableColumn id="16" name="primary_model_statuses"/>
    <x:tableColumn id="17" name="proposed_evaluation_role"/>
    <x:tableColumn id="18" name="lineage_no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4dfc53e2da46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50d177546b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cdadf93d8645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e7144eab824e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8799991607666" hidden="0" customWidth="1"/>
    <x:col min="3" max="3" width="21.8799991607666" hidden="0" customWidth="1"/>
    <x:col min="4" max="4" width="21.25" hidden="0" customWidth="1"/>
    <x:col min="5" max="5" width="13.75" hidden="0" customWidth="1"/>
    <x:col min="6" max="6" width="36.880001068115234" hidden="0" customWidth="1"/>
    <x:col min="7" max="7" width="65" hidden="0" customWidth="1"/>
  </x:cols>
  <x:sheetData>
    <x:row r="1" ht="28.5" customHeight="1">
      <x:c r="A1" s="12" t="str">
        <x:v>system</x:v>
      </x:c>
      <x:c r="B1" s="13" t="str">
        <x:v>temperature_K</x:v>
      </x:c>
      <x:c r="C1" s="13" t="str">
        <x:v>concentration_mol_L</x:v>
      </x:c>
      <x:c r="D1" s="13" t="str">
        <x:v>diffusion_1e9_m2_s</x:v>
      </x:c>
      <x:c r="E1" s="13" t="str">
        <x:v>lobo_ref_no</x:v>
      </x:c>
      <x:c r="F1" s="13" t="str">
        <x:v>model_group_id</x:v>
      </x:c>
      <x:c r="G1" s="14" t="str">
        <x:v>original_reference</x:v>
      </x:c>
    </x:row>
    <x:row r="2" ht="15" hidden="0" customHeight="1">
      <x:c r="A2" s="16" t="str">
        <x:v>LiCl-H2O</x:v>
      </x:c>
      <x:c r="B2" s="17" t="n">
        <x:v>298.15</x:v>
      </x:c>
      <x:c r="C2" s="18" t="n">
        <x:v>4</x:v>
      </x:c>
      <x:c r="D2" s="19" t="n">
        <x:v>1.466</x:v>
      </x:c>
      <x:c r="E2" s="20" t="n">
        <x:v>6</x:v>
      </x:c>
      <x:c r="F2" s="16" t="str">
        <x:v>BIB:LICL:LOBO1993:REF_006</x:v>
      </x:c>
      <x:c r="G2" s="22" t="str">
        <x:v>P. C. Carman, J. Phys. Chem. 73, 1095 (1969)</x:v>
      </x:c>
    </x:row>
    <x:row r="3" ht="15" hidden="0" customHeight="1">
      <x:c r="A3" s="16" t="str">
        <x:v>LiCl-H2O</x:v>
      </x:c>
      <x:c r="B3" s="17" t="n">
        <x:v>298.15</x:v>
      </x:c>
      <x:c r="C3" s="18" t="n">
        <x:v>0</x:v>
      </x:c>
      <x:c r="D3" s="19" t="n">
        <x:v>1.3666</x:v>
      </x:c>
      <x:c r="E3" s="20"/>
      <x:c r="F3" s="16" t="str">
        <x:v>BIB:LICL:LOBO1993:REF_029</x:v>
      </x:c>
      <x:c r="G3" s="22" t="str">
        <x:v>H. S. Harned &amp; C. L. Hildreth Jr., J. Am. Chem. Soc. 73, 650 (1951)</x:v>
      </x:c>
    </x:row>
    <x:row r="4" ht="15" hidden="0" customHeight="1">
      <x:c r="A4" s="16" t="str">
        <x:v>LiCl-H2O</x:v>
      </x:c>
      <x:c r="B4" s="17" t="n">
        <x:v>298.15</x:v>
      </x:c>
      <x:c r="C4" s="18" t="n">
        <x:v>0.0006</x:v>
      </x:c>
      <x:c r="D4" s="19" t="n">
        <x:v>1.348</x:v>
      </x:c>
      <x:c r="E4" s="20" t="n">
        <x:v>29</x:v>
      </x:c>
      <x:c r="F4" s="16" t="str">
        <x:v>BIB:LICL:LOBO1993:REF_029</x:v>
      </x:c>
      <x:c r="G4" s="22" t="str">
        <x:v>H. S. Harned &amp; C. L. Hildreth Jr., J. Am. Chem. Soc. 73, 650 (1951)</x:v>
      </x:c>
    </x:row>
    <x:row r="5" ht="15" hidden="0" customHeight="1">
      <x:c r="A5" s="16" t="str">
        <x:v>LiCl-H2O</x:v>
      </x:c>
      <x:c r="B5" s="17" t="n">
        <x:v>298.15</x:v>
      </x:c>
      <x:c r="C5" s="18" t="n">
        <x:v>0.0017</x:v>
      </x:c>
      <x:c r="D5" s="19" t="n">
        <x:v>1.331</x:v>
      </x:c>
      <x:c r="E5" s="20" t="n">
        <x:v>29</x:v>
      </x:c>
      <x:c r="F5" s="16" t="str">
        <x:v>BIB:LICL:LOBO1993:REF_029</x:v>
      </x:c>
      <x:c r="G5" s="22" t="str">
        <x:v>H. S. Harned &amp; C. L. Hildreth Jr., J. Am. Chem. Soc. 73, 650 (1951)</x:v>
      </x:c>
    </x:row>
    <x:row r="6" ht="15" hidden="0" customHeight="1">
      <x:c r="A6" s="16" t="str">
        <x:v>LiCl-H2O</x:v>
      </x:c>
      <x:c r="B6" s="17" t="n">
        <x:v>298.15</x:v>
      </x:c>
      <x:c r="C6" s="18" t="n">
        <x:v>0.0022</x:v>
      </x:c>
      <x:c r="D6" s="19" t="n">
        <x:v>1.335</x:v>
      </x:c>
      <x:c r="E6" s="20" t="n">
        <x:v>29</x:v>
      </x:c>
      <x:c r="F6" s="16" t="str">
        <x:v>BIB:LICL:LOBO1993:REF_029</x:v>
      </x:c>
      <x:c r="G6" s="22" t="str">
        <x:v>H. S. Harned &amp; C. L. Hildreth Jr., J. Am. Chem. Soc. 73, 650 (1951)</x:v>
      </x:c>
    </x:row>
    <x:row r="7" ht="15" hidden="0" customHeight="1">
      <x:c r="A7" s="16" t="str">
        <x:v>LiCl-H2O</x:v>
      </x:c>
      <x:c r="B7" s="17" t="n">
        <x:v>298.15</x:v>
      </x:c>
      <x:c r="C7" s="18" t="n">
        <x:v>0.0023</x:v>
      </x:c>
      <x:c r="D7" s="19" t="n">
        <x:v>1.335</x:v>
      </x:c>
      <x:c r="E7" s="20" t="n">
        <x:v>29</x:v>
      </x:c>
      <x:c r="F7" s="16" t="str">
        <x:v>BIB:LICL:LOBO1993:REF_029</x:v>
      </x:c>
      <x:c r="G7" s="22" t="str">
        <x:v>H. S. Harned &amp; C. L. Hildreth Jr., J. Am. Chem. Soc. 73, 650 (1951)</x:v>
      </x:c>
    </x:row>
    <x:row r="8" ht="15" hidden="0" customHeight="1">
      <x:c r="A8" s="16" t="str">
        <x:v>LiCl-H2O</x:v>
      </x:c>
      <x:c r="B8" s="17" t="n">
        <x:v>298.15</x:v>
      </x:c>
      <x:c r="C8" s="18" t="n">
        <x:v>0.0026</x:v>
      </x:c>
      <x:c r="D8" s="19" t="n">
        <x:v>1.334</x:v>
      </x:c>
      <x:c r="E8" s="20" t="n">
        <x:v>29</x:v>
      </x:c>
      <x:c r="F8" s="16" t="str">
        <x:v>BIB:LICL:LOBO1993:REF_029</x:v>
      </x:c>
      <x:c r="G8" s="22" t="str">
        <x:v>H. S. Harned &amp; C. L. Hildreth Jr., J. Am. Chem. Soc. 73, 650 (1951)</x:v>
      </x:c>
    </x:row>
    <x:row r="9" ht="15" hidden="0" customHeight="1">
      <x:c r="A9" s="16" t="str">
        <x:v>LiCl-H2O</x:v>
      </x:c>
      <x:c r="B9" s="17" t="n">
        <x:v>298.15</x:v>
      </x:c>
      <x:c r="C9" s="18" t="n">
        <x:v>0.003</x:v>
      </x:c>
      <x:c r="D9" s="19" t="n">
        <x:v>1.331</x:v>
      </x:c>
      <x:c r="E9" s="20" t="n">
        <x:v>29</x:v>
      </x:c>
      <x:c r="F9" s="16" t="str">
        <x:v>BIB:LICL:LOBO1993:REF_029</x:v>
      </x:c>
      <x:c r="G9" s="22" t="str">
        <x:v>H. S. Harned &amp; C. L. Hildreth Jr., J. Am. Chem. Soc. 73, 650 (1951)</x:v>
      </x:c>
    </x:row>
    <x:row r="10" ht="15" hidden="0" customHeight="1">
      <x:c r="A10" s="16" t="str">
        <x:v>LiCl-H2O</x:v>
      </x:c>
      <x:c r="B10" s="17" t="n">
        <x:v>298.15</x:v>
      </x:c>
      <x:c r="C10" s="18" t="n">
        <x:v>0.0033</x:v>
      </x:c>
      <x:c r="D10" s="19" t="n">
        <x:v>1.327</x:v>
      </x:c>
      <x:c r="E10" s="20" t="n">
        <x:v>29</x:v>
      </x:c>
      <x:c r="F10" s="16" t="str">
        <x:v>BIB:LICL:LOBO1993:REF_029</x:v>
      </x:c>
      <x:c r="G10" s="22" t="str">
        <x:v>H. S. Harned &amp; C. L. Hildreth Jr., J. Am. Chem. Soc. 73, 650 (1951)</x:v>
      </x:c>
    </x:row>
    <x:row r="11" ht="15" hidden="0" customHeight="1">
      <x:c r="A11" s="16" t="str">
        <x:v>LiCl-H2O</x:v>
      </x:c>
      <x:c r="B11" s="17" t="n">
        <x:v>298.15</x:v>
      </x:c>
      <x:c r="C11" s="18" t="n">
        <x:v>0.0049</x:v>
      </x:c>
      <x:c r="D11" s="19" t="n">
        <x:v>1.326</x:v>
      </x:c>
      <x:c r="E11" s="20" t="n">
        <x:v>29</x:v>
      </x:c>
      <x:c r="F11" s="16" t="str">
        <x:v>BIB:LICL:LOBO1993:REF_029</x:v>
      </x:c>
      <x:c r="G11" s="22" t="str">
        <x:v>H. S. Harned &amp; C. L. Hildreth Jr., J. Am. Chem. Soc. 73, 650 (1951)</x:v>
      </x:c>
    </x:row>
    <x:row r="12" ht="15" hidden="0" customHeight="1">
      <x:c r="A12" s="16" t="str">
        <x:v>LiCl-H2O</x:v>
      </x:c>
      <x:c r="B12" s="17" t="n">
        <x:v>298.15</x:v>
      </x:c>
      <x:c r="C12" s="18" t="n">
        <x:v>0.0056</x:v>
      </x:c>
      <x:c r="D12" s="19" t="n">
        <x:v>1.319</x:v>
      </x:c>
      <x:c r="E12" s="20" t="n">
        <x:v>29</x:v>
      </x:c>
      <x:c r="F12" s="16" t="str">
        <x:v>BIB:LICL:LOBO1993:REF_029</x:v>
      </x:c>
      <x:c r="G12" s="22" t="str">
        <x:v>H. S. Harned &amp; C. L. Hildreth Jr., J. Am. Chem. Soc. 73, 650 (1951)</x:v>
      </x:c>
    </x:row>
    <x:row r="13" ht="15" hidden="0" customHeight="1">
      <x:c r="A13" s="16" t="str">
        <x:v>LiCl-H2O</x:v>
      </x:c>
      <x:c r="B13" s="17" t="n">
        <x:v>298.15</x:v>
      </x:c>
      <x:c r="C13" s="18" t="n">
        <x:v>0.0073</x:v>
      </x:c>
      <x:c r="D13" s="19" t="n">
        <x:v>1.32</x:v>
      </x:c>
      <x:c r="E13" s="20" t="n">
        <x:v>29</x:v>
      </x:c>
      <x:c r="F13" s="16" t="str">
        <x:v>BIB:LICL:LOBO1993:REF_029</x:v>
      </x:c>
      <x:c r="G13" s="22" t="str">
        <x:v>H. S. Harned &amp; C. L. Hildreth Jr., J. Am. Chem. Soc. 73, 650 (1951)</x:v>
      </x:c>
    </x:row>
    <x:row r="14" ht="15" hidden="0" customHeight="1">
      <x:c r="A14" s="16" t="str">
        <x:v>LiCl-H2O</x:v>
      </x:c>
      <x:c r="B14" s="17" t="n">
        <x:v>298.15</x:v>
      </x:c>
      <x:c r="C14" s="18" t="n">
        <x:v>0.0079</x:v>
      </x:c>
      <x:c r="D14" s="19" t="n">
        <x:v>1.315</x:v>
      </x:c>
      <x:c r="E14" s="20" t="n">
        <x:v>29</x:v>
      </x:c>
      <x:c r="F14" s="16" t="str">
        <x:v>BIB:LICL:LOBO1993:REF_029</x:v>
      </x:c>
      <x:c r="G14" s="22" t="str">
        <x:v>H. S. Harned &amp; C. L. Hildreth Jr., J. Am. Chem. Soc. 73, 650 (1951)</x:v>
      </x:c>
    </x:row>
    <x:row r="15" ht="15" hidden="0" customHeight="1">
      <x:c r="A15" s="16" t="str">
        <x:v>LiCl-H2O</x:v>
      </x:c>
      <x:c r="B15" s="17" t="n">
        <x:v>298.15</x:v>
      </x:c>
      <x:c r="C15" s="18" t="n">
        <x:v>0.0083</x:v>
      </x:c>
      <x:c r="D15" s="19" t="n">
        <x:v>1.313</x:v>
      </x:c>
      <x:c r="E15" s="20" t="n">
        <x:v>29</x:v>
      </x:c>
      <x:c r="F15" s="16" t="str">
        <x:v>BIB:LICL:LOBO1993:REF_029</x:v>
      </x:c>
      <x:c r="G15" s="22" t="str">
        <x:v>H. S. Harned &amp; C. L. Hildreth Jr., J. Am. Chem. Soc. 73, 650 (1951)</x:v>
      </x:c>
    </x:row>
    <x:row r="16" ht="15" hidden="0" customHeight="1">
      <x:c r="A16" s="16" t="str">
        <x:v>LiCl-H2O</x:v>
      </x:c>
      <x:c r="B16" s="17" t="n">
        <x:v>298.15</x:v>
      </x:c>
      <x:c r="C16" s="18" t="n">
        <x:v>0.0093</x:v>
      </x:c>
      <x:c r="D16" s="19" t="n">
        <x:v>1.312</x:v>
      </x:c>
      <x:c r="E16" s="20" t="n">
        <x:v>29</x:v>
      </x:c>
      <x:c r="F16" s="16" t="str">
        <x:v>BIB:LICL:LOBO1993:REF_029</x:v>
      </x:c>
      <x:c r="G16" s="22" t="str">
        <x:v>H. S. Harned &amp; C. L. Hildreth Jr., J. Am. Chem. Soc. 73, 650 (1951)</x:v>
      </x:c>
    </x:row>
    <x:row r="17" ht="15" hidden="0" customHeight="1">
      <x:c r="A17" s="16" t="str">
        <x:v>LiCl-H2O</x:v>
      </x:c>
      <x:c r="B17" s="17" t="n">
        <x:v>298.15</x:v>
      </x:c>
      <x:c r="C17" s="18" t="n">
        <x:v>0.011</x:v>
      </x:c>
      <x:c r="D17" s="19" t="n">
        <x:v>1.313</x:v>
      </x:c>
      <x:c r="E17" s="20" t="n">
        <x:v>29</x:v>
      </x:c>
      <x:c r="F17" s="16" t="str">
        <x:v>BIB:LICL:LOBO1993:REF_029</x:v>
      </x:c>
      <x:c r="G17" s="22" t="str">
        <x:v>H. S. Harned &amp; C. L. Hildreth Jr., J. Am. Chem. Soc. 73, 650 (1951)</x:v>
      </x:c>
    </x:row>
    <x:row r="18" ht="15" hidden="0" customHeight="1">
      <x:c r="A18" s="16" t="str">
        <x:v>LiCl-H2O</x:v>
      </x:c>
      <x:c r="B18" s="17" t="n">
        <x:v>298.15</x:v>
      </x:c>
      <x:c r="C18" s="18" t="n">
        <x:v>0.0001</x:v>
      </x:c>
      <x:c r="D18" s="19" t="n">
        <x:v>1.358</x:v>
      </x:c>
      <x:c r="E18" s="20" t="n">
        <x:v>67</x:v>
      </x:c>
      <x:c r="F18" s="16" t="str">
        <x:v>BIB:LICL:LOBO1993:REF_067</x:v>
      </x:c>
      <x:c r="G18" s="22" t="str">
        <x:v>D. G. Miller, J. Phys. Chem. 70, 2639 (1966)</x:v>
      </x:c>
    </x:row>
    <x:row r="19" ht="15" hidden="0" customHeight="1">
      <x:c r="A19" s="16" t="str">
        <x:v>LiCl-H2O</x:v>
      </x:c>
      <x:c r="B19" s="17" t="n">
        <x:v>298.15</x:v>
      </x:c>
      <x:c r="C19" s="18" t="n">
        <x:v>0.0005</x:v>
      </x:c>
      <x:c r="D19" s="19" t="n">
        <x:v>1.349</x:v>
      </x:c>
      <x:c r="E19" s="20" t="n">
        <x:v>67</x:v>
      </x:c>
      <x:c r="F19" s="16" t="str">
        <x:v>BIB:LICL:LOBO1993:REF_067</x:v>
      </x:c>
      <x:c r="G19" s="22" t="str">
        <x:v>D. G. Miller, J. Phys. Chem. 70, 2639 (1966)</x:v>
      </x:c>
    </x:row>
    <x:row r="20" ht="15" hidden="0" customHeight="1">
      <x:c r="A20" s="16" t="str">
        <x:v>LiCl-H2O</x:v>
      </x:c>
      <x:c r="B20" s="17" t="n">
        <x:v>298.15</x:v>
      </x:c>
      <x:c r="C20" s="18" t="n">
        <x:v>0.001</x:v>
      </x:c>
      <x:c r="D20" s="19" t="n">
        <x:v>1.344</x:v>
      </x:c>
      <x:c r="E20" s="20" t="n">
        <x:v>67</x:v>
      </x:c>
      <x:c r="F20" s="16" t="str">
        <x:v>BIB:LICL:LOBO1993:REF_067</x:v>
      </x:c>
      <x:c r="G20" s="22" t="str">
        <x:v>D. G. Miller, J. Phys. Chem. 70, 2639 (1966)</x:v>
      </x:c>
    </x:row>
    <x:row r="21" ht="15" hidden="0" customHeight="1">
      <x:c r="A21" s="16" t="str">
        <x:v>LiCl-H2O</x:v>
      </x:c>
      <x:c r="B21" s="17" t="n">
        <x:v>298.15</x:v>
      </x:c>
      <x:c r="C21" s="18" t="n">
        <x:v>0.005</x:v>
      </x:c>
      <x:c r="D21" s="19" t="n">
        <x:v>1.324</x:v>
      </x:c>
      <x:c r="E21" s="20" t="n">
        <x:v>67</x:v>
      </x:c>
      <x:c r="F21" s="16" t="str">
        <x:v>BIB:LICL:LOBO1993:REF_067</x:v>
      </x:c>
      <x:c r="G21" s="22" t="str">
        <x:v>D. G. Miller, J. Phys. Chem. 70, 2639 (1966)</x:v>
      </x:c>
    </x:row>
    <x:row r="22" ht="15" hidden="0" customHeight="1">
      <x:c r="A22" s="16" t="str">
        <x:v>LiCl-H2O</x:v>
      </x:c>
      <x:c r="B22" s="17" t="n">
        <x:v>298.15</x:v>
      </x:c>
      <x:c r="C22" s="18" t="n">
        <x:v>0.01</x:v>
      </x:c>
      <x:c r="D22" s="19" t="n">
        <x:v>1.312</x:v>
      </x:c>
      <x:c r="E22" s="20" t="n">
        <x:v>67</x:v>
      </x:c>
      <x:c r="F22" s="16" t="str">
        <x:v>BIB:LICL:LOBO1993:REF_067</x:v>
      </x:c>
      <x:c r="G22" s="22" t="str">
        <x:v>D. G. Miller, J. Phys. Chem. 70, 2639 (1966)</x:v>
      </x:c>
    </x:row>
    <x:row r="23" ht="15" hidden="0" customHeight="1">
      <x:c r="A23" s="16" t="str">
        <x:v>LiCl-H2O</x:v>
      </x:c>
      <x:c r="B23" s="17" t="n">
        <x:v>298.15</x:v>
      </x:c>
      <x:c r="C23" s="18" t="n">
        <x:v>0.1</x:v>
      </x:c>
      <x:c r="D23" s="19" t="n">
        <x:v>1.268</x:v>
      </x:c>
      <x:c r="E23" s="20" t="n">
        <x:v>67</x:v>
      </x:c>
      <x:c r="F23" s="16" t="str">
        <x:v>BIB:LICL:LOBO1993:REF_067</x:v>
      </x:c>
      <x:c r="G23" s="22" t="str">
        <x:v>D. G. Miller, J. Phys. Chem. 70, 2639 (1966)</x:v>
      </x:c>
    </x:row>
    <x:row r="24" ht="15" hidden="0" customHeight="1">
      <x:c r="A24" s="16" t="str">
        <x:v>LiCl-H2O</x:v>
      </x:c>
      <x:c r="B24" s="17" t="n">
        <x:v>298.15</x:v>
      </x:c>
      <x:c r="C24" s="18" t="n">
        <x:v>0.2</x:v>
      </x:c>
      <x:c r="D24" s="19" t="n">
        <x:v>1.261</x:v>
      </x:c>
      <x:c r="E24" s="20" t="n">
        <x:v>67</x:v>
      </x:c>
      <x:c r="F24" s="16" t="str">
        <x:v>BIB:LICL:LOBO1993:REF_067</x:v>
      </x:c>
      <x:c r="G24" s="22" t="str">
        <x:v>D. G. Miller, J. Phys. Chem. 70, 2639 (1966)</x:v>
      </x:c>
    </x:row>
    <x:row r="25" ht="15" hidden="0" customHeight="1">
      <x:c r="A25" s="16" t="str">
        <x:v>LiCl-H2O</x:v>
      </x:c>
      <x:c r="B25" s="17" t="n">
        <x:v>298.15</x:v>
      </x:c>
      <x:c r="C25" s="18" t="n">
        <x:v>0.5</x:v>
      </x:c>
      <x:c r="D25" s="19" t="n">
        <x:v>1.272</x:v>
      </x:c>
      <x:c r="E25" s="20" t="n">
        <x:v>67</x:v>
      </x:c>
      <x:c r="F25" s="16" t="str">
        <x:v>BIB:LICL:LOBO1993:REF_067</x:v>
      </x:c>
      <x:c r="G25" s="22" t="str">
        <x:v>D. G. Miller, J. Phys. Chem. 70, 2639 (1966)</x:v>
      </x:c>
    </x:row>
    <x:row r="26" ht="15" hidden="0" customHeight="1">
      <x:c r="A26" s="16" t="str">
        <x:v>LiCl-H2O</x:v>
      </x:c>
      <x:c r="B26" s="17" t="n">
        <x:v>298.15</x:v>
      </x:c>
      <x:c r="C26" s="18" t="n">
        <x:v>1.5</x:v>
      </x:c>
      <x:c r="D26" s="19" t="n">
        <x:v>1.337</x:v>
      </x:c>
      <x:c r="E26" s="20" t="n">
        <x:v>67</x:v>
      </x:c>
      <x:c r="F26" s="16" t="str">
        <x:v>BIB:LICL:LOBO1993:REF_067</x:v>
      </x:c>
      <x:c r="G26" s="22" t="str">
        <x:v>D. G. Miller, J. Phys. Chem. 70, 2639 (1966)</x:v>
      </x:c>
    </x:row>
    <x:row r="27" ht="15" hidden="0" customHeight="1">
      <x:c r="A27" s="16" t="str">
        <x:v>LiCl-H2O</x:v>
      </x:c>
      <x:c r="B27" s="17" t="n">
        <x:v>298.15</x:v>
      </x:c>
      <x:c r="C27" s="18" t="n">
        <x:v>2</x:v>
      </x:c>
      <x:c r="D27" s="19" t="n">
        <x:v>1.369</x:v>
      </x:c>
      <x:c r="E27" s="20" t="n">
        <x:v>67</x:v>
      </x:c>
      <x:c r="F27" s="16" t="str">
        <x:v>BIB:LICL:LOBO1993:REF_067</x:v>
      </x:c>
      <x:c r="G27" s="22" t="str">
        <x:v>D. G. Miller, J. Phys. Chem. 70, 2639 (1966)</x:v>
      </x:c>
    </x:row>
    <x:row r="28" ht="15" hidden="0" customHeight="1">
      <x:c r="A28" s="16" t="str">
        <x:v>LiCl-H2O</x:v>
      </x:c>
      <x:c r="B28" s="17" t="n">
        <x:v>298.15</x:v>
      </x:c>
      <x:c r="C28" s="18" t="n">
        <x:v>2.5</x:v>
      </x:c>
      <x:c r="D28" s="19" t="n">
        <x:v>1.398</x:v>
      </x:c>
      <x:c r="E28" s="20" t="n">
        <x:v>67</x:v>
      </x:c>
      <x:c r="F28" s="16" t="str">
        <x:v>BIB:LICL:LOBO1993:REF_067</x:v>
      </x:c>
      <x:c r="G28" s="22" t="str">
        <x:v>D. G. Miller, J. Phys. Chem. 70, 2639 (1966)</x:v>
      </x:c>
    </x:row>
    <x:row r="29" ht="15" hidden="0" customHeight="1">
      <x:c r="A29" s="16" t="str">
        <x:v>LiCl-H2O</x:v>
      </x:c>
      <x:c r="B29" s="17" t="n">
        <x:v>298.15</x:v>
      </x:c>
      <x:c r="C29" s="18" t="n">
        <x:v>3</x:v>
      </x:c>
      <x:c r="D29" s="19" t="n">
        <x:v>1.426</x:v>
      </x:c>
      <x:c r="E29" s="20" t="n">
        <x:v>67</x:v>
      </x:c>
      <x:c r="F29" s="16" t="str">
        <x:v>BIB:LICL:LOBO1993:REF_067</x:v>
      </x:c>
      <x:c r="G29" s="22" t="str">
        <x:v>D. G. Miller, J. Phys. Chem. 70, 2639 (1966)</x:v>
      </x:c>
    </x:row>
    <x:row r="30" ht="15" hidden="0" customHeight="1">
      <x:c r="A30" s="16" t="str">
        <x:v>LiCl-H2O</x:v>
      </x:c>
      <x:c r="B30" s="17" t="n">
        <x:v>298.15</x:v>
      </x:c>
      <x:c r="C30" s="18" t="n">
        <x:v>0.05</x:v>
      </x:c>
      <x:c r="D30" s="19" t="n">
        <x:v>1.28</x:v>
      </x:c>
      <x:c r="E30" s="20" t="n">
        <x:v>84</x:v>
      </x:c>
      <x:c r="F30" s="16" t="str">
        <x:v>BIB:LICL:LOBO1993:REF_084</x:v>
      </x:c>
      <x:c r="G30" s="22" t="str">
        <x:v>R. H. Stokes, J. Am. Chem. Soc. 72, 2243 (1950)</x:v>
      </x:c>
    </x:row>
    <x:row r="31" ht="15" hidden="0" customHeight="1">
      <x:c r="A31" s="16" t="str">
        <x:v>LiCl-H2O</x:v>
      </x:c>
      <x:c r="B31" s="17" t="n">
        <x:v>298.15</x:v>
      </x:c>
      <x:c r="C31" s="18" t="n">
        <x:v>0.1</x:v>
      </x:c>
      <x:c r="D31" s="19" t="n">
        <x:v>1.269</x:v>
      </x:c>
      <x:c r="E31" s="20" t="n">
        <x:v>84</x:v>
      </x:c>
      <x:c r="F31" s="16" t="str">
        <x:v>BIB:LICL:LOBO1993:REF_084</x:v>
      </x:c>
      <x:c r="G31" s="22" t="str">
        <x:v>R. H. Stokes, J. Am. Chem. Soc. 72, 2243 (1950)</x:v>
      </x:c>
    </x:row>
    <x:row r="32" ht="15" hidden="0" customHeight="1">
      <x:c r="A32" s="16" t="str">
        <x:v>LiCl-H2O</x:v>
      </x:c>
      <x:c r="B32" s="17" t="n">
        <x:v>298.15</x:v>
      </x:c>
      <x:c r="C32" s="18" t="n">
        <x:v>0.2</x:v>
      </x:c>
      <x:c r="D32" s="19" t="n">
        <x:v>1.267</x:v>
      </x:c>
      <x:c r="E32" s="20" t="n">
        <x:v>84</x:v>
      </x:c>
      <x:c r="F32" s="16" t="str">
        <x:v>BIB:LICL:LOBO1993:REF_084</x:v>
      </x:c>
      <x:c r="G32" s="22" t="str">
        <x:v>R. H. Stokes, J. Am. Chem. Soc. 72, 2243 (1950)</x:v>
      </x:c>
    </x:row>
    <x:row r="33" ht="15" hidden="0" customHeight="1">
      <x:c r="A33" s="16" t="str">
        <x:v>LiCl-H2O</x:v>
      </x:c>
      <x:c r="B33" s="17" t="n">
        <x:v>298.15</x:v>
      </x:c>
      <x:c r="C33" s="18" t="n">
        <x:v>0.3</x:v>
      </x:c>
      <x:c r="D33" s="19" t="n">
        <x:v>1.269</x:v>
      </x:c>
      <x:c r="E33" s="20" t="n">
        <x:v>84</x:v>
      </x:c>
      <x:c r="F33" s="16" t="str">
        <x:v>BIB:LICL:LOBO1993:REF_084</x:v>
      </x:c>
      <x:c r="G33" s="22" t="str">
        <x:v>R. H. Stokes, J. Am. Chem. Soc. 72, 2243 (1950)</x:v>
      </x:c>
    </x:row>
    <x:row r="34" ht="15" hidden="0" customHeight="1">
      <x:c r="A34" s="16" t="str">
        <x:v>LiCl-H2O</x:v>
      </x:c>
      <x:c r="B34" s="17" t="n">
        <x:v>298.15</x:v>
      </x:c>
      <x:c r="C34" s="18" t="n">
        <x:v>0.5</x:v>
      </x:c>
      <x:c r="D34" s="19" t="n">
        <x:v>1.278</x:v>
      </x:c>
      <x:c r="E34" s="20" t="n">
        <x:v>84</x:v>
      </x:c>
      <x:c r="F34" s="16" t="str">
        <x:v>BIB:LICL:LOBO1993:REF_084</x:v>
      </x:c>
      <x:c r="G34" s="22" t="str">
        <x:v>R. H. Stokes, J. Am. Chem. Soc. 72, 2243 (1950)</x:v>
      </x:c>
    </x:row>
    <x:row r="35" ht="15" hidden="0" customHeight="1">
      <x:c r="A35" s="16" t="str">
        <x:v>LiCl-H2O</x:v>
      </x:c>
      <x:c r="B35" s="17" t="n">
        <x:v>298.15</x:v>
      </x:c>
      <x:c r="C35" s="18" t="n">
        <x:v>0.7</x:v>
      </x:c>
      <x:c r="D35" s="19" t="n">
        <x:v>1.288</x:v>
      </x:c>
      <x:c r="E35" s="20" t="n">
        <x:v>84</x:v>
      </x:c>
      <x:c r="F35" s="16" t="str">
        <x:v>BIB:LICL:LOBO1993:REF_084</x:v>
      </x:c>
      <x:c r="G35" s="22" t="str">
        <x:v>R. H. Stokes, J. Am. Chem. Soc. 72, 2243 (1950)</x:v>
      </x:c>
    </x:row>
    <x:row r="36" ht="15" hidden="0" customHeight="1">
      <x:c r="A36" s="16" t="str">
        <x:v>LiCl-H2O</x:v>
      </x:c>
      <x:c r="B36" s="17" t="n">
        <x:v>298.15</x:v>
      </x:c>
      <x:c r="C36" s="18" t="n">
        <x:v>1</x:v>
      </x:c>
      <x:c r="D36" s="19" t="n">
        <x:v>1.302</x:v>
      </x:c>
      <x:c r="E36" s="20" t="n">
        <x:v>84</x:v>
      </x:c>
      <x:c r="F36" s="16" t="str">
        <x:v>BIB:LICL:LOBO1993:REF_084</x:v>
      </x:c>
      <x:c r="G36" s="22" t="str">
        <x:v>R. H. Stokes, J. Am. Chem. Soc. 72, 2243 (1950)</x:v>
      </x:c>
    </x:row>
    <x:row r="37" ht="15" hidden="0" customHeight="1">
      <x:c r="A37" s="16" t="str">
        <x:v>LiCl-H2O</x:v>
      </x:c>
      <x:c r="B37" s="17" t="n">
        <x:v>298.15</x:v>
      </x:c>
      <x:c r="C37" s="18" t="n">
        <x:v>1.5</x:v>
      </x:c>
      <x:c r="D37" s="19" t="n">
        <x:v>1.331</x:v>
      </x:c>
      <x:c r="E37" s="20" t="n">
        <x:v>84</x:v>
      </x:c>
      <x:c r="F37" s="16" t="str">
        <x:v>BIB:LICL:LOBO1993:REF_084</x:v>
      </x:c>
      <x:c r="G37" s="22" t="str">
        <x:v>R. H. Stokes, J. Am. Chem. Soc. 72, 2243 (1950)</x:v>
      </x:c>
    </x:row>
    <x:row r="38" ht="15" hidden="0" customHeight="1">
      <x:c r="A38" s="16" t="str">
        <x:v>LiCl-H2O</x:v>
      </x:c>
      <x:c r="B38" s="17" t="n">
        <x:v>298.15</x:v>
      </x:c>
      <x:c r="C38" s="18" t="n">
        <x:v>2</x:v>
      </x:c>
      <x:c r="D38" s="19" t="n">
        <x:v>1.363</x:v>
      </x:c>
      <x:c r="E38" s="20" t="n">
        <x:v>84</x:v>
      </x:c>
      <x:c r="F38" s="16" t="str">
        <x:v>BIB:LICL:LOBO1993:REF_084</x:v>
      </x:c>
      <x:c r="G38" s="22" t="str">
        <x:v>R. H. Stokes, J. Am. Chem. Soc. 72, 2243 (1950)</x:v>
      </x:c>
    </x:row>
    <x:row r="39" ht="15" hidden="0" customHeight="1">
      <x:c r="A39" s="16" t="str">
        <x:v>LiCl-H2O</x:v>
      </x:c>
      <x:c r="B39" s="17" t="n">
        <x:v>298.15</x:v>
      </x:c>
      <x:c r="C39" s="18" t="n">
        <x:v>2.5</x:v>
      </x:c>
      <x:c r="D39" s="19" t="n">
        <x:v>1.397</x:v>
      </x:c>
      <x:c r="E39" s="20" t="n">
        <x:v>84</x:v>
      </x:c>
      <x:c r="F39" s="16" t="str">
        <x:v>BIB:LICL:LOBO1993:REF_084</x:v>
      </x:c>
      <x:c r="G39" s="22" t="str">
        <x:v>R. H. Stokes, J. Am. Chem. Soc. 72, 2243 (1950)</x:v>
      </x:c>
    </x:row>
    <x:row r="40" ht="15" hidden="0" customHeight="1">
      <x:c r="A40" s="16" t="str">
        <x:v>LiCl-H2O</x:v>
      </x:c>
      <x:c r="B40" s="17" t="n">
        <x:v>298.15</x:v>
      </x:c>
      <x:c r="C40" s="18" t="n">
        <x:v>3</x:v>
      </x:c>
      <x:c r="D40" s="19" t="n">
        <x:v>1.43</x:v>
      </x:c>
      <x:c r="E40" s="20" t="n">
        <x:v>84</x:v>
      </x:c>
      <x:c r="F40" s="16" t="str">
        <x:v>BIB:LICL:LOBO1993:REF_084</x:v>
      </x:c>
      <x:c r="G40" s="22" t="str">
        <x:v>R. H. Stokes, J. Am. Chem. Soc. 72, 2243 (1950)</x:v>
      </x:c>
    </x:row>
    <x:row r="41" ht="15" hidden="0" customHeight="1">
      <x:c r="A41" s="16" t="str">
        <x:v>LiCl-H2O</x:v>
      </x:c>
      <x:c r="B41" s="17" t="n">
        <x:v>298.15</x:v>
      </x:c>
      <x:c r="C41" s="18" t="n">
        <x:v>3.5</x:v>
      </x:c>
      <x:c r="D41" s="19" t="n">
        <x:v>1.464</x:v>
      </x:c>
      <x:c r="E41" s="20" t="n">
        <x:v>84</x:v>
      </x:c>
      <x:c r="F41" s="16" t="str">
        <x:v>BIB:LICL:LOBO1993:REF_084</x:v>
      </x:c>
      <x:c r="G41" s="22" t="str">
        <x:v>R. H. Stokes, J. Am. Chem. Soc. 72, 2243 (1950)</x:v>
      </x:c>
    </x:row>
    <x:row r="42" ht="15" hidden="0" customHeight="1">
      <x:c r="A42" s="16" t="str">
        <x:v>LiCl-H2O</x:v>
      </x:c>
      <x:c r="B42" s="17" t="n">
        <x:v>298.15</x:v>
      </x:c>
      <x:c r="C42" s="18" t="n">
        <x:v>0.1</x:v>
      </x:c>
      <x:c r="D42" s="19" t="n">
        <x:v>1.148</x:v>
      </x:c>
      <x:c r="E42" s="20" t="n">
        <x:v>86</x:v>
      </x:c>
      <x:c r="F42" s="16" t="str">
        <x:v>BIB:LICL:LOBO1993:REF_086</x:v>
      </x:c>
      <x:c r="G42" s="22" t="str">
        <x:v>J. R. Vinograd &amp; J. W. McBain, J. Am. Chem. Soc. 63, 2008 (1941)</x:v>
      </x:c>
    </x:row>
    <x:row r="43" ht="15" hidden="0" customHeight="1">
      <x:c r="A43" s="16" t="str">
        <x:v>LiCl-H2O</x:v>
      </x:c>
      <x:c r="B43" s="17" t="n">
        <x:v>298.15</x:v>
      </x:c>
      <x:c r="C43" s="18" t="n">
        <x:v>0.5</x:v>
      </x:c>
      <x:c r="D43" s="19" t="n">
        <x:v>1.136</x:v>
      </x:c>
      <x:c r="E43" s="20" t="n">
        <x:v>86</x:v>
      </x:c>
      <x:c r="F43" s="16" t="str">
        <x:v>BIB:LICL:LOBO1993:REF_086</x:v>
      </x:c>
      <x:c r="G43" s="22" t="str">
        <x:v>J. R. Vinograd &amp; J. W. McBain, J. Am. Chem. Soc. 63, 2008 (1941)</x:v>
      </x:c>
    </x:row>
    <x:row r="44" ht="15" hidden="0" customHeight="1">
      <x:c r="A44" s="16" t="str">
        <x:v>LiCl-H2O</x:v>
      </x:c>
      <x:c r="B44" s="17" t="n">
        <x:v>298.15</x:v>
      </x:c>
      <x:c r="C44" s="18" t="n">
        <x:v>1</x:v>
      </x:c>
      <x:c r="D44" s="19" t="n">
        <x:v>1.147</x:v>
      </x:c>
      <x:c r="E44" s="20" t="n">
        <x:v>86</x:v>
      </x:c>
      <x:c r="F44" s="16" t="str">
        <x:v>BIB:LICL:LOBO1993:REF_086</x:v>
      </x:c>
      <x:c r="G44" s="22" t="str">
        <x:v>J. R. Vinograd &amp; J. W. McBain, J. Am. Chem. Soc. 63, 2008 (1941)</x:v>
      </x:c>
    </x:row>
    <x:row r="45" ht="15" hidden="0" customHeight="1">
      <x:c r="A45" s="16" t="str">
        <x:v>LiCl-H2O</x:v>
      </x:c>
      <x:c r="B45" s="17" t="n">
        <x:v>273.15</x:v>
      </x:c>
      <x:c r="C45" s="18" t="n">
        <x:v>0.1975</x:v>
      </x:c>
      <x:c r="D45" s="19" t="n">
        <x:v>0.59</x:v>
      </x:c>
      <x:c r="E45" s="20" t="n">
        <x:v>87</x:v>
      </x:c>
      <x:c r="F45" s="16" t="str">
        <x:v>BIB:LICL:LOBO1993:REF_087</x:v>
      </x:c>
      <x:c r="G45" s="22" t="str">
        <x:v>V. Vitagliano, Gazz. Chim. Ital. 90, 876 (1960)</x:v>
      </x:c>
    </x:row>
    <x:row r="46" ht="15" hidden="0" customHeight="1">
      <x:c r="A46" s="16" t="str">
        <x:v>LiCl-H2O</x:v>
      </x:c>
      <x:c r="B46" s="17" t="n">
        <x:v>273.15</x:v>
      </x:c>
      <x:c r="C46" s="18" t="n">
        <x:v>0.1982</x:v>
      </x:c>
      <x:c r="D46" s="19" t="n">
        <x:v>0.588</x:v>
      </x:c>
      <x:c r="E46" s="20" t="n">
        <x:v>87</x:v>
      </x:c>
      <x:c r="F46" s="16" t="str">
        <x:v>BIB:LICL:LOBO1993:REF_087</x:v>
      </x:c>
      <x:c r="G46" s="22" t="str">
        <x:v>V. Vitagliano, Gazz. Chim. Ital. 90, 876 (1960)</x:v>
      </x:c>
    </x:row>
    <x:row r="47" ht="15" hidden="0" customHeight="1">
      <x:c r="A47" s="16" t="str">
        <x:v>LiCl-H2O</x:v>
      </x:c>
      <x:c r="B47" s="17" t="n">
        <x:v>273.15</x:v>
      </x:c>
      <x:c r="C47" s="18" t="n">
        <x:v>0.1991</x:v>
      </x:c>
      <x:c r="D47" s="19" t="n">
        <x:v>0.588</x:v>
      </x:c>
      <x:c r="E47" s="20" t="n">
        <x:v>87</x:v>
      </x:c>
      <x:c r="F47" s="16" t="str">
        <x:v>BIB:LICL:LOBO1993:REF_087</x:v>
      </x:c>
      <x:c r="G47" s="22" t="str">
        <x:v>V. Vitagliano, Gazz. Chim. Ital. 90, 876 (1960)</x:v>
      </x:c>
    </x:row>
    <x:row r="48" ht="15" hidden="0" customHeight="1">
      <x:c r="A48" s="16" t="str">
        <x:v>LiCl-H2O</x:v>
      </x:c>
      <x:c r="B48" s="17" t="n">
        <x:v>273.15</x:v>
      </x:c>
      <x:c r="C48" s="18" t="n">
        <x:v>0.3972</x:v>
      </x:c>
      <x:c r="D48" s="19" t="n">
        <x:v>0.597</x:v>
      </x:c>
      <x:c r="E48" s="20" t="n">
        <x:v>87</x:v>
      </x:c>
      <x:c r="F48" s="16" t="str">
        <x:v>BIB:LICL:LOBO1993:REF_087</x:v>
      </x:c>
      <x:c r="G48" s="22" t="str">
        <x:v>V. Vitagliano, Gazz. Chim. Ital. 90, 876 (1960)</x:v>
      </x:c>
    </x:row>
    <x:row r="49" ht="15" hidden="0" customHeight="1">
      <x:c r="A49" s="16" t="str">
        <x:v>LiCl-H2O</x:v>
      </x:c>
      <x:c r="B49" s="17" t="n">
        <x:v>273.15</x:v>
      </x:c>
      <x:c r="C49" s="18" t="n">
        <x:v>0.5063</x:v>
      </x:c>
      <x:c r="D49" s="19" t="n">
        <x:v>0.6</x:v>
      </x:c>
      <x:c r="E49" s="20" t="n">
        <x:v>87</x:v>
      </x:c>
      <x:c r="F49" s="16" t="str">
        <x:v>BIB:LICL:LOBO1993:REF_087</x:v>
      </x:c>
      <x:c r="G49" s="22" t="str">
        <x:v>V. Vitagliano, Gazz. Chim. Ital. 90, 876 (1960)</x:v>
      </x:c>
    </x:row>
    <x:row r="50" ht="15" hidden="0" customHeight="1">
      <x:c r="A50" s="16" t="str">
        <x:v>LiCl-H2O</x:v>
      </x:c>
      <x:c r="B50" s="17" t="n">
        <x:v>273.15</x:v>
      </x:c>
      <x:c r="C50" s="18" t="n">
        <x:v>0.5937</x:v>
      </x:c>
      <x:c r="D50" s="19" t="n">
        <x:v>0.604</x:v>
      </x:c>
      <x:c r="E50" s="20" t="n">
        <x:v>87</x:v>
      </x:c>
      <x:c r="F50" s="16" t="str">
        <x:v>BIB:LICL:LOBO1993:REF_087</x:v>
      </x:c>
      <x:c r="G50" s="22" t="str">
        <x:v>V. Vitagliano, Gazz. Chim. Ital. 90, 876 (1960)</x:v>
      </x:c>
    </x:row>
    <x:row r="51" ht="15" hidden="0" customHeight="1">
      <x:c r="A51" s="16" t="str">
        <x:v>LiCl-H2O</x:v>
      </x:c>
      <x:c r="B51" s="17" t="n">
        <x:v>273.15</x:v>
      </x:c>
      <x:c r="C51" s="18" t="n">
        <x:v>0.7586</x:v>
      </x:c>
      <x:c r="D51" s="19" t="n">
        <x:v>0.617</x:v>
      </x:c>
      <x:c r="E51" s="20" t="n">
        <x:v>87</x:v>
      </x:c>
      <x:c r="F51" s="16" t="str">
        <x:v>BIB:LICL:LOBO1993:REF_087</x:v>
      </x:c>
      <x:c r="G51" s="22" t="str">
        <x:v>V. Vitagliano, Gazz. Chim. Ital. 90, 876 (1960)</x:v>
      </x:c>
    </x:row>
    <x:row r="52" ht="15" hidden="0" customHeight="1">
      <x:c r="A52" s="16" t="str">
        <x:v>LiCl-H2O</x:v>
      </x:c>
      <x:c r="B52" s="17" t="n">
        <x:v>273.15</x:v>
      </x:c>
      <x:c r="C52" s="18" t="n">
        <x:v>0.7888</x:v>
      </x:c>
      <x:c r="D52" s="19" t="n">
        <x:v>0.617</x:v>
      </x:c>
      <x:c r="E52" s="20" t="n">
        <x:v>87</x:v>
      </x:c>
      <x:c r="F52" s="16" t="str">
        <x:v>BIB:LICL:LOBO1993:REF_087</x:v>
      </x:c>
      <x:c r="G52" s="22" t="str">
        <x:v>V. Vitagliano, Gazz. Chim. Ital. 90, 876 (1960)</x:v>
      </x:c>
    </x:row>
    <x:row r="53" ht="15" hidden="0" customHeight="1">
      <x:c r="A53" s="16" t="str">
        <x:v>LiCl-H2O</x:v>
      </x:c>
      <x:c r="B53" s="17" t="n">
        <x:v>273.15</x:v>
      </x:c>
      <x:c r="C53" s="18" t="n">
        <x:v>0.9825</x:v>
      </x:c>
      <x:c r="D53" s="19" t="n">
        <x:v>0.622</x:v>
      </x:c>
      <x:c r="E53" s="20" t="n">
        <x:v>87</x:v>
      </x:c>
      <x:c r="F53" s="16" t="str">
        <x:v>BIB:LICL:LOBO1993:REF_087</x:v>
      </x:c>
      <x:c r="G53" s="22" t="str">
        <x:v>V. Vitagliano, Gazz. Chim. Ital. 90, 876 (1960)</x:v>
      </x:c>
    </x:row>
    <x:row r="54" ht="15" hidden="0" customHeight="1">
      <x:c r="A54" s="16" t="str">
        <x:v>LiCl-H2O</x:v>
      </x:c>
      <x:c r="B54" s="17" t="n">
        <x:v>273.15</x:v>
      </x:c>
      <x:c r="C54" s="18" t="n">
        <x:v>0.9826</x:v>
      </x:c>
      <x:c r="D54" s="19" t="n">
        <x:v>0.626</x:v>
      </x:c>
      <x:c r="E54" s="20" t="n">
        <x:v>87</x:v>
      </x:c>
      <x:c r="F54" s="16" t="str">
        <x:v>BIB:LICL:LOBO1993:REF_087</x:v>
      </x:c>
      <x:c r="G54" s="22" t="str">
        <x:v>V. Vitagliano, Gazz. Chim. Ital. 90, 876 (1960)</x:v>
      </x:c>
    </x:row>
    <x:row r="55" ht="15" hidden="0" customHeight="1">
      <x:c r="A55" s="16" t="str">
        <x:v>LiCl-H2O</x:v>
      </x:c>
      <x:c r="B55" s="17" t="n">
        <x:v>273.15</x:v>
      </x:c>
      <x:c r="C55" s="18" t="n">
        <x:v>1.4581</x:v>
      </x:c>
      <x:c r="D55" s="19" t="n">
        <x:v>0.647</x:v>
      </x:c>
      <x:c r="E55" s="20" t="n">
        <x:v>87</x:v>
      </x:c>
      <x:c r="F55" s="16" t="str">
        <x:v>BIB:LICL:LOBO1993:REF_087</x:v>
      </x:c>
      <x:c r="G55" s="22" t="str">
        <x:v>V. Vitagliano, Gazz. Chim. Ital. 90, 876 (1960)</x:v>
      </x:c>
    </x:row>
    <x:row r="56" ht="15" hidden="0" customHeight="1">
      <x:c r="A56" s="16" t="str">
        <x:v>LiCl-H2O</x:v>
      </x:c>
      <x:c r="B56" s="17" t="n">
        <x:v>273.15</x:v>
      </x:c>
      <x:c r="C56" s="18" t="n">
        <x:v>1.9296</x:v>
      </x:c>
      <x:c r="D56" s="19" t="n">
        <x:v>0.67</x:v>
      </x:c>
      <x:c r="E56" s="20" t="n">
        <x:v>87</x:v>
      </x:c>
      <x:c r="F56" s="16" t="str">
        <x:v>BIB:LICL:LOBO1993:REF_087</x:v>
      </x:c>
      <x:c r="G56" s="22" t="str">
        <x:v>V. Vitagliano, Gazz. Chim. Ital. 90, 876 (1960)</x:v>
      </x:c>
    </x:row>
    <x:row r="57" ht="15" hidden="0" customHeight="1">
      <x:c r="A57" s="16" t="str">
        <x:v>LiCl-H2O</x:v>
      </x:c>
      <x:c r="B57" s="17" t="n">
        <x:v>273.15</x:v>
      </x:c>
      <x:c r="C57" s="18" t="n">
        <x:v>2.3877</x:v>
      </x:c>
      <x:c r="D57" s="19" t="n">
        <x:v>0.69</x:v>
      </x:c>
      <x:c r="E57" s="20" t="n">
        <x:v>87</x:v>
      </x:c>
      <x:c r="F57" s="16" t="str">
        <x:v>BIB:LICL:LOBO1993:REF_087</x:v>
      </x:c>
      <x:c r="G57" s="22" t="str">
        <x:v>V. Vitagliano, Gazz. Chim. Ital. 90, 876 (1960)</x:v>
      </x:c>
    </x:row>
    <x:row r="58" ht="15" hidden="0" customHeight="1">
      <x:c r="A58" s="16" t="str">
        <x:v>LiCl-H2O</x:v>
      </x:c>
      <x:c r="B58" s="17" t="n">
        <x:v>273.15</x:v>
      </x:c>
      <x:c r="C58" s="18" t="n">
        <x:v>2.8399</x:v>
      </x:c>
      <x:c r="D58" s="19" t="n">
        <x:v>0.71</x:v>
      </x:c>
      <x:c r="E58" s="20" t="n">
        <x:v>87</x:v>
      </x:c>
      <x:c r="F58" s="16" t="str">
        <x:v>BIB:LICL:LOBO1993:REF_087</x:v>
      </x:c>
      <x:c r="G58" s="22" t="str">
        <x:v>V. Vitagliano, Gazz. Chim. Ital. 90, 876 (1960)</x:v>
      </x:c>
    </x:row>
    <x:row r="59" ht="15" hidden="0" customHeight="1">
      <x:c r="A59" s="16" t="str">
        <x:v>LiCl-H2O</x:v>
      </x:c>
      <x:c r="B59" s="17" t="n">
        <x:v>273.15</x:v>
      </x:c>
      <x:c r="C59" s="18" t="n">
        <x:v>2.84</x:v>
      </x:c>
      <x:c r="D59" s="19" t="n">
        <x:v>0.708</x:v>
      </x:c>
      <x:c r="E59" s="20" t="n">
        <x:v>87</x:v>
      </x:c>
      <x:c r="F59" s="16" t="str">
        <x:v>BIB:LICL:LOBO1993:REF_087</x:v>
      </x:c>
      <x:c r="G59" s="22" t="str">
        <x:v>V. Vitagliano, Gazz. Chim. Ital. 90, 876 (1960)</x:v>
      </x:c>
    </x:row>
    <x:row r="60" ht="15" hidden="0" customHeight="1">
      <x:c r="A60" s="16" t="str">
        <x:v>LiCl-H2O</x:v>
      </x:c>
      <x:c r="B60" s="17" t="n">
        <x:v>273.15</x:v>
      </x:c>
      <x:c r="C60" s="18" t="n">
        <x:v>3.2776</x:v>
      </x:c>
      <x:c r="D60" s="19" t="n">
        <x:v>0.727</x:v>
      </x:c>
      <x:c r="E60" s="20" t="n">
        <x:v>87</x:v>
      </x:c>
      <x:c r="F60" s="16" t="str">
        <x:v>BIB:LICL:LOBO1993:REF_087</x:v>
      </x:c>
      <x:c r="G60" s="22" t="str">
        <x:v>V. Vitagliano, Gazz. Chim. Ital. 90, 876 (1960)</x:v>
      </x:c>
    </x:row>
    <x:row r="61" ht="15" hidden="0" customHeight="1">
      <x:c r="A61" s="16" t="str">
        <x:v>LiCl-H2O</x:v>
      </x:c>
      <x:c r="B61" s="17" t="n">
        <x:v>273.15</x:v>
      </x:c>
      <x:c r="C61" s="18" t="n">
        <x:v>3.7131</x:v>
      </x:c>
      <x:c r="D61" s="19" t="n">
        <x:v>0.741</x:v>
      </x:c>
      <x:c r="E61" s="20" t="n">
        <x:v>87</x:v>
      </x:c>
      <x:c r="F61" s="16" t="str">
        <x:v>BIB:LICL:LOBO1993:REF_087</x:v>
      </x:c>
      <x:c r="G61" s="22" t="str">
        <x:v>V. Vitagliano, Gazz. Chim. Ital. 90, 876 (1960)</x:v>
      </x:c>
    </x:row>
    <x:row r="62" ht="15" hidden="0" customHeight="1">
      <x:c r="A62" s="16" t="str">
        <x:v>LiCl-H2O</x:v>
      </x:c>
      <x:c r="B62" s="17" t="n">
        <x:v>273.15</x:v>
      </x:c>
      <x:c r="C62" s="18" t="n">
        <x:v>4.1393</x:v>
      </x:c>
      <x:c r="D62" s="19" t="n">
        <x:v>0.754</x:v>
      </x:c>
      <x:c r="E62" s="20" t="n">
        <x:v>87</x:v>
      </x:c>
      <x:c r="F62" s="16" t="str">
        <x:v>BIB:LICL:LOBO1993:REF_087</x:v>
      </x:c>
      <x:c r="G62" s="22" t="str">
        <x:v>V. Vitagliano, Gazz. Chim. Ital. 90, 876 (1960)</x:v>
      </x:c>
    </x:row>
    <x:row r="63" ht="15" hidden="0" customHeight="1">
      <x:c r="A63" s="16" t="str">
        <x:v>LiCl-H2O</x:v>
      </x:c>
      <x:c r="B63" s="17" t="n">
        <x:v>273.15</x:v>
      </x:c>
      <x:c r="C63" s="18" t="n">
        <x:v>4.5548</x:v>
      </x:c>
      <x:c r="D63" s="19" t="n">
        <x:v>0.767</x:v>
      </x:c>
      <x:c r="E63" s="20" t="n">
        <x:v>87</x:v>
      </x:c>
      <x:c r="F63" s="16" t="str">
        <x:v>BIB:LICL:LOBO1993:REF_087</x:v>
      </x:c>
      <x:c r="G63" s="22" t="str">
        <x:v>V. Vitagliano, Gazz. Chim. Ital. 90, 876 (1960)</x:v>
      </x:c>
    </x:row>
    <x:row r="64" ht="15" hidden="0" customHeight="1">
      <x:c r="A64" s="16" t="str">
        <x:v>LiCl-H2O</x:v>
      </x:c>
      <x:c r="B64" s="17" t="n">
        <x:v>273.15</x:v>
      </x:c>
      <x:c r="C64" s="18" t="n">
        <x:v>4.9632</x:v>
      </x:c>
      <x:c r="D64" s="19" t="n">
        <x:v>0.776</x:v>
      </x:c>
      <x:c r="E64" s="20" t="n">
        <x:v>87</x:v>
      </x:c>
      <x:c r="F64" s="16" t="str">
        <x:v>BIB:LICL:LOBO1993:REF_087</x:v>
      </x:c>
      <x:c r="G64" s="22" t="str">
        <x:v>V. Vitagliano, Gazz. Chim. Ital. 90, 876 (1960)</x:v>
      </x:c>
    </x:row>
    <x:row r="65" ht="15" hidden="0" customHeight="1">
      <x:c r="A65" s="16" t="str">
        <x:v>LiCl-H2O</x:v>
      </x:c>
      <x:c r="B65" s="17" t="n">
        <x:v>273.15</x:v>
      </x:c>
      <x:c r="C65" s="18" t="n">
        <x:v>5.3629</x:v>
      </x:c>
      <x:c r="D65" s="19" t="n">
        <x:v>0.774</x:v>
      </x:c>
      <x:c r="E65" s="20" t="n">
        <x:v>87</x:v>
      </x:c>
      <x:c r="F65" s="16" t="str">
        <x:v>BIB:LICL:LOBO1993:REF_087</x:v>
      </x:c>
      <x:c r="G65" s="22" t="str">
        <x:v>V. Vitagliano, Gazz. Chim. Ital. 90, 876 (1960)</x:v>
      </x:c>
    </x:row>
    <x:row r="66" ht="15" hidden="0" customHeight="1">
      <x:c r="A66" s="16" t="str">
        <x:v>LiCl-H2O</x:v>
      </x:c>
      <x:c r="B66" s="17" t="n">
        <x:v>273.15</x:v>
      </x:c>
      <x:c r="C66" s="18" t="n">
        <x:v>6.1393</x:v>
      </x:c>
      <x:c r="D66" s="19" t="n">
        <x:v>0.758</x:v>
      </x:c>
      <x:c r="E66" s="20" t="n">
        <x:v>87</x:v>
      </x:c>
      <x:c r="F66" s="16" t="str">
        <x:v>BIB:LICL:LOBO1993:REF_087</x:v>
      </x:c>
      <x:c r="G66" s="22" t="str">
        <x:v>V. Vitagliano, Gazz. Chim. Ital. 90, 876 (1960)</x:v>
      </x:c>
    </x:row>
    <x:row r="67" ht="15" hidden="0" customHeight="1">
      <x:c r="A67" s="16" t="str">
        <x:v>LiCl-H2O</x:v>
      </x:c>
      <x:c r="B67" s="17" t="n">
        <x:v>273.15</x:v>
      </x:c>
      <x:c r="C67" s="18" t="n">
        <x:v>6.929</x:v>
      </x:c>
      <x:c r="D67" s="19" t="n">
        <x:v>0.734</x:v>
      </x:c>
      <x:c r="E67" s="20" t="n">
        <x:v>87</x:v>
      </x:c>
      <x:c r="F67" s="16" t="str">
        <x:v>BIB:LICL:LOBO1993:REF_087</x:v>
      </x:c>
      <x:c r="G67" s="22" t="str">
        <x:v>V. Vitagliano, Gazz. Chim. Ital. 90, 876 (1960)</x:v>
      </x:c>
    </x:row>
    <x:row r="68" ht="15" hidden="0" customHeight="1">
      <x:c r="A68" s="16" t="str">
        <x:v>LiCl-H2O</x:v>
      </x:c>
      <x:c r="B68" s="17" t="n">
        <x:v>291.15</x:v>
      </x:c>
      <x:c r="C68" s="18" t="n">
        <x:v>0.1673</x:v>
      </x:c>
      <x:c r="D68" s="19" t="n">
        <x:v>1.054</x:v>
      </x:c>
      <x:c r="E68" s="20" t="n">
        <x:v>87</x:v>
      </x:c>
      <x:c r="F68" s="16" t="str">
        <x:v>BIB:LICL:LOBO1993:REF_087</x:v>
      </x:c>
      <x:c r="G68" s="22" t="str">
        <x:v>V. Vitagliano, Gazz. Chim. Ital. 90, 876 (1960)</x:v>
      </x:c>
    </x:row>
    <x:row r="69" ht="15" hidden="0" customHeight="1">
      <x:c r="A69" s="16" t="str">
        <x:v>LiCl-H2O</x:v>
      </x:c>
      <x:c r="B69" s="17" t="n">
        <x:v>291.15</x:v>
      </x:c>
      <x:c r="C69" s="18" t="n">
        <x:v>0.2973</x:v>
      </x:c>
      <x:c r="D69" s="19" t="n">
        <x:v>1.049</x:v>
      </x:c>
      <x:c r="E69" s="20" t="n">
        <x:v>87</x:v>
      </x:c>
      <x:c r="F69" s="16" t="str">
        <x:v>BIB:LICL:LOBO1993:REF_087</x:v>
      </x:c>
      <x:c r="G69" s="22" t="str">
        <x:v>V. Vitagliano, Gazz. Chim. Ital. 90, 876 (1960)</x:v>
      </x:c>
    </x:row>
    <x:row r="70" ht="15" hidden="0" customHeight="1">
      <x:c r="A70" s="16" t="str">
        <x:v>LiCl-H2O</x:v>
      </x:c>
      <x:c r="B70" s="17" t="n">
        <x:v>291.15</x:v>
      </x:c>
      <x:c r="C70" s="18" t="n">
        <x:v>0.5925</x:v>
      </x:c>
      <x:c r="D70" s="19" t="n">
        <x:v>1.062</x:v>
      </x:c>
      <x:c r="E70" s="20" t="n">
        <x:v>87</x:v>
      </x:c>
      <x:c r="F70" s="16" t="str">
        <x:v>BIB:LICL:LOBO1993:REF_087</x:v>
      </x:c>
      <x:c r="G70" s="22" t="str">
        <x:v>V. Vitagliano, Gazz. Chim. Ital. 90, 876 (1960)</x:v>
      </x:c>
    </x:row>
    <x:row r="71" ht="15" hidden="0" customHeight="1">
      <x:c r="A71" s="16" t="str">
        <x:v>LiCl-H2O</x:v>
      </x:c>
      <x:c r="B71" s="17" t="n">
        <x:v>291.15</x:v>
      </x:c>
      <x:c r="C71" s="18" t="n">
        <x:v>0.7872</x:v>
      </x:c>
      <x:c r="D71" s="19" t="n">
        <x:v>1.074</x:v>
      </x:c>
      <x:c r="E71" s="20" t="n">
        <x:v>87</x:v>
      </x:c>
      <x:c r="F71" s="16" t="str">
        <x:v>BIB:LICL:LOBO1993:REF_087</x:v>
      </x:c>
      <x:c r="G71" s="22" t="str">
        <x:v>V. Vitagliano, Gazz. Chim. Ital. 90, 876 (1960)</x:v>
      </x:c>
    </x:row>
    <x:row r="72" ht="15" hidden="0" customHeight="1">
      <x:c r="A72" s="16" t="str">
        <x:v>LiCl-H2O</x:v>
      </x:c>
      <x:c r="B72" s="17" t="n">
        <x:v>291.15</x:v>
      </x:c>
      <x:c r="C72" s="18" t="n">
        <x:v>0.9316</x:v>
      </x:c>
      <x:c r="D72" s="19" t="n">
        <x:v>1.081</x:v>
      </x:c>
      <x:c r="E72" s="20" t="n">
        <x:v>87</x:v>
      </x:c>
      <x:c r="F72" s="16" t="str">
        <x:v>BIB:LICL:LOBO1993:REF_087</x:v>
      </x:c>
      <x:c r="G72" s="22" t="str">
        <x:v>V. Vitagliano, Gazz. Chim. Ital. 90, 876 (1960)</x:v>
      </x:c>
    </x:row>
    <x:row r="73" ht="15" hidden="0" customHeight="1">
      <x:c r="A73" s="16" t="str">
        <x:v>LiCl-H2O</x:v>
      </x:c>
      <x:c r="B73" s="17" t="n">
        <x:v>291.15</x:v>
      </x:c>
      <x:c r="C73" s="18" t="n">
        <x:v>1.311</x:v>
      </x:c>
      <x:c r="D73" s="19" t="n">
        <x:v>1.104</x:v>
      </x:c>
      <x:c r="E73" s="20" t="n">
        <x:v>87</x:v>
      </x:c>
      <x:c r="F73" s="16" t="str">
        <x:v>BIB:LICL:LOBO1993:REF_087</x:v>
      </x:c>
      <x:c r="G73" s="22" t="str">
        <x:v>V. Vitagliano, Gazz. Chim. Ital. 90, 876 (1960)</x:v>
      </x:c>
    </x:row>
    <x:row r="74" ht="15" hidden="0" customHeight="1">
      <x:c r="A74" s="16" t="str">
        <x:v>LiCl-H2O</x:v>
      </x:c>
      <x:c r="B74" s="17" t="n">
        <x:v>291.15</x:v>
      </x:c>
      <x:c r="C74" s="18" t="n">
        <x:v>1.9243</x:v>
      </x:c>
      <x:c r="D74" s="19" t="n">
        <x:v>1.145</x:v>
      </x:c>
      <x:c r="E74" s="20" t="n">
        <x:v>87</x:v>
      </x:c>
      <x:c r="F74" s="16" t="str">
        <x:v>BIB:LICL:LOBO1993:REF_087</x:v>
      </x:c>
      <x:c r="G74" s="22" t="str">
        <x:v>V. Vitagliano, Gazz. Chim. Ital. 90, 876 (1960)</x:v>
      </x:c>
    </x:row>
    <x:row r="75" ht="15" hidden="0" customHeight="1">
      <x:c r="A75" s="16" t="str">
        <x:v>LiCl-H2O</x:v>
      </x:c>
      <x:c r="B75" s="17" t="n">
        <x:v>291.15</x:v>
      </x:c>
      <x:c r="C75" s="18" t="n">
        <x:v>1.9271</x:v>
      </x:c>
      <x:c r="D75" s="19" t="n">
        <x:v>1.145</x:v>
      </x:c>
      <x:c r="E75" s="20" t="n">
        <x:v>87</x:v>
      </x:c>
      <x:c r="F75" s="16" t="str">
        <x:v>BIB:LICL:LOBO1993:REF_087</x:v>
      </x:c>
      <x:c r="G75" s="22" t="str">
        <x:v>V. Vitagliano, Gazz. Chim. Ital. 90, 876 (1960)</x:v>
      </x:c>
    </x:row>
    <x:row r="76" ht="15" hidden="0" customHeight="1">
      <x:c r="A76" s="16" t="str">
        <x:v>LiCl-H2O</x:v>
      </x:c>
      <x:c r="B76" s="17" t="n">
        <x:v>291.15</x:v>
      </x:c>
      <x:c r="C76" s="18" t="n">
        <x:v>2.3442</x:v>
      </x:c>
      <x:c r="D76" s="19" t="n">
        <x:v>1.166</x:v>
      </x:c>
      <x:c r="E76" s="20" t="n">
        <x:v>87</x:v>
      </x:c>
      <x:c r="F76" s="16" t="str">
        <x:v>BIB:LICL:LOBO1993:REF_087</x:v>
      </x:c>
      <x:c r="G76" s="22" t="str">
        <x:v>V. Vitagliano, Gazz. Chim. Ital. 90, 876 (1960)</x:v>
      </x:c>
    </x:row>
    <x:row r="77" ht="15" hidden="0" customHeight="1">
      <x:c r="A77" s="16" t="str">
        <x:v>LiCl-H2O</x:v>
      </x:c>
      <x:c r="B77" s="17" t="n">
        <x:v>291.15</x:v>
      </x:c>
      <x:c r="C77" s="18" t="n">
        <x:v>2.3741</x:v>
      </x:c>
      <x:c r="D77" s="19" t="n">
        <x:v>1.17</x:v>
      </x:c>
      <x:c r="E77" s="20" t="n">
        <x:v>87</x:v>
      </x:c>
      <x:c r="F77" s="16" t="str">
        <x:v>BIB:LICL:LOBO1993:REF_087</x:v>
      </x:c>
      <x:c r="G77" s="22" t="str">
        <x:v>V. Vitagliano, Gazz. Chim. Ital. 90, 876 (1960)</x:v>
      </x:c>
    </x:row>
    <x:row r="78" ht="15" hidden="0" customHeight="1">
      <x:c r="A78" s="16" t="str">
        <x:v>LiCl-H2O</x:v>
      </x:c>
      <x:c r="B78" s="17" t="n">
        <x:v>291.15</x:v>
      </x:c>
      <x:c r="C78" s="18" t="n">
        <x:v>2.831</x:v>
      </x:c>
      <x:c r="D78" s="19" t="n">
        <x:v>1.1925</x:v>
      </x:c>
      <x:c r="E78" s="20" t="n">
        <x:v>87</x:v>
      </x:c>
      <x:c r="F78" s="16" t="str">
        <x:v>BIB:LICL:LOBO1993:REF_087</x:v>
      </x:c>
      <x:c r="G78" s="22" t="str">
        <x:v>V. Vitagliano, Gazz. Chim. Ital. 90, 876 (1960)</x:v>
      </x:c>
    </x:row>
    <x:row r="79" ht="15" hidden="0" customHeight="1">
      <x:c r="A79" s="16" t="str">
        <x:v>LiCl-H2O</x:v>
      </x:c>
      <x:c r="B79" s="17" t="n">
        <x:v>291.15</x:v>
      </x:c>
      <x:c r="C79" s="18" t="n">
        <x:v>3.2711</x:v>
      </x:c>
      <x:c r="D79" s="19" t="n">
        <x:v>1.212</x:v>
      </x:c>
      <x:c r="E79" s="20" t="n">
        <x:v>87</x:v>
      </x:c>
      <x:c r="F79" s="16" t="str">
        <x:v>BIB:LICL:LOBO1993:REF_087</x:v>
      </x:c>
      <x:c r="G79" s="22" t="str">
        <x:v>V. Vitagliano, Gazz. Chim. Ital. 90, 876 (1960)</x:v>
      </x:c>
    </x:row>
    <x:row r="80" ht="15" hidden="0" customHeight="1">
      <x:c r="A80" s="16" t="str">
        <x:v>LiCl-H2O</x:v>
      </x:c>
      <x:c r="B80" s="17" t="n">
        <x:v>291.15</x:v>
      </x:c>
      <x:c r="C80" s="18" t="n">
        <x:v>4.2264</x:v>
      </x:c>
      <x:c r="D80" s="19" t="n">
        <x:v>1.241</x:v>
      </x:c>
      <x:c r="E80" s="20" t="n">
        <x:v>87</x:v>
      </x:c>
      <x:c r="F80" s="16" t="str">
        <x:v>BIB:LICL:LOBO1993:REF_087</x:v>
      </x:c>
      <x:c r="G80" s="22" t="str">
        <x:v>V. Vitagliano, Gazz. Chim. Ital. 90, 876 (1960)</x:v>
      </x:c>
    </x:row>
    <x:row r="81" ht="15" hidden="0" customHeight="1">
      <x:c r="A81" s="16" t="str">
        <x:v>LiCl-H2O</x:v>
      </x:c>
      <x:c r="B81" s="17" t="n">
        <x:v>291.15</x:v>
      </x:c>
      <x:c r="C81" s="18" t="n">
        <x:v>4.9458</x:v>
      </x:c>
      <x:c r="D81" s="19" t="n">
        <x:v>1.258</x:v>
      </x:c>
      <x:c r="E81" s="20" t="n">
        <x:v>87</x:v>
      </x:c>
      <x:c r="F81" s="16" t="str">
        <x:v>BIB:LICL:LOBO1993:REF_087</x:v>
      </x:c>
      <x:c r="G81" s="22" t="str">
        <x:v>V. Vitagliano, Gazz. Chim. Ital. 90, 876 (1960)</x:v>
      </x:c>
    </x:row>
    <x:row r="82" ht="15" hidden="0" customHeight="1">
      <x:c r="A82" s="16" t="str">
        <x:v>LiCl-H2O</x:v>
      </x:c>
      <x:c r="B82" s="17" t="n">
        <x:v>291.15</x:v>
      </x:c>
      <x:c r="C82" s="18" t="n">
        <x:v>5.342</x:v>
      </x:c>
      <x:c r="D82" s="19" t="n">
        <x:v>1.262</x:v>
      </x:c>
      <x:c r="E82" s="20" t="n">
        <x:v>87</x:v>
      </x:c>
      <x:c r="F82" s="16" t="str">
        <x:v>BIB:LICL:LOBO1993:REF_087</x:v>
      </x:c>
      <x:c r="G82" s="22" t="str">
        <x:v>V. Vitagliano, Gazz. Chim. Ital. 90, 876 (1960)</x:v>
      </x:c>
    </x:row>
    <x:row r="83" ht="15" hidden="0" customHeight="1">
      <x:c r="A83" s="16" t="str">
        <x:v>LiCl-H2O</x:v>
      </x:c>
      <x:c r="B83" s="17" t="n">
        <x:v>291.15</x:v>
      </x:c>
      <x:c r="C83" s="18" t="n">
        <x:v>6.1189</x:v>
      </x:c>
      <x:c r="D83" s="19" t="n">
        <x:v>1.235</x:v>
      </x:c>
      <x:c r="E83" s="20" t="n">
        <x:v>87</x:v>
      </x:c>
      <x:c r="F83" s="16" t="str">
        <x:v>BIB:LICL:LOBO1993:REF_087</x:v>
      </x:c>
      <x:c r="G83" s="22" t="str">
        <x:v>V. Vitagliano, Gazz. Chim. Ital. 90, 876 (1960)</x:v>
      </x:c>
    </x:row>
    <x:row r="84" ht="15" hidden="0" customHeight="1">
      <x:c r="A84" s="16" t="str">
        <x:v>LiCl-H2O</x:v>
      </x:c>
      <x:c r="B84" s="17" t="n">
        <x:v>291.15</x:v>
      </x:c>
      <x:c r="C84" s="18" t="n">
        <x:v>6.8638</x:v>
      </x:c>
      <x:c r="D84" s="19" t="n">
        <x:v>1.185</x:v>
      </x:c>
      <x:c r="E84" s="20" t="n">
        <x:v>87</x:v>
      </x:c>
      <x:c r="F84" s="16" t="str">
        <x:v>BIB:LICL:LOBO1993:REF_087</x:v>
      </x:c>
      <x:c r="G84" s="22" t="str">
        <x:v>V. Vitagliano, Gazz. Chim. Ital. 90, 876 (1960)</x:v>
      </x:c>
    </x:row>
    <x:row r="85" ht="15" hidden="0" customHeight="1">
      <x:c r="A85" s="16" t="str">
        <x:v>LiCl-H2O</x:v>
      </x:c>
      <x:c r="B85" s="17" t="n">
        <x:v>298.15</x:v>
      </x:c>
      <x:c r="C85" s="18" t="n">
        <x:v>0.1174</x:v>
      </x:c>
      <x:c r="D85" s="19" t="n">
        <x:v>1.267</x:v>
      </x:c>
      <x:c r="E85" s="20" t="n">
        <x:v>87</x:v>
      </x:c>
      <x:c r="F85" s="16" t="str">
        <x:v>BIB:LICL:LOBO1993:REF_087</x:v>
      </x:c>
      <x:c r="G85" s="22" t="str">
        <x:v>V. Vitagliano, Gazz. Chim. Ital. 90, 876 (1960)</x:v>
      </x:c>
    </x:row>
    <x:row r="86" ht="15" hidden="0" customHeight="1">
      <x:c r="A86" s="16" t="str">
        <x:v>LiCl-H2O</x:v>
      </x:c>
      <x:c r="B86" s="17" t="n">
        <x:v>298.15</x:v>
      </x:c>
      <x:c r="C86" s="18" t="n">
        <x:v>0.128</x:v>
      </x:c>
      <x:c r="D86" s="19" t="n">
        <x:v>1.262</x:v>
      </x:c>
      <x:c r="E86" s="20" t="n">
        <x:v>87</x:v>
      </x:c>
      <x:c r="F86" s="16" t="str">
        <x:v>BIB:LICL:LOBO1993:REF_087</x:v>
      </x:c>
      <x:c r="G86" s="22" t="str">
        <x:v>V. Vitagliano, Gazz. Chim. Ital. 90, 876 (1960)</x:v>
      </x:c>
    </x:row>
    <x:row r="87" ht="15" hidden="0" customHeight="1">
      <x:c r="A87" s="16" t="str">
        <x:v>LiCl-H2O</x:v>
      </x:c>
      <x:c r="B87" s="17" t="n">
        <x:v>298.15</x:v>
      </x:c>
      <x:c r="C87" s="18" t="n">
        <x:v>0.1675</x:v>
      </x:c>
      <x:c r="D87" s="19" t="n">
        <x:v>1.261</x:v>
      </x:c>
      <x:c r="E87" s="20" t="n">
        <x:v>87</x:v>
      </x:c>
      <x:c r="F87" s="16" t="str">
        <x:v>BIB:LICL:LOBO1993:REF_087</x:v>
      </x:c>
      <x:c r="G87" s="22" t="str">
        <x:v>V. Vitagliano, Gazz. Chim. Ital. 90, 876 (1960)</x:v>
      </x:c>
    </x:row>
    <x:row r="88" ht="15" hidden="0" customHeight="1">
      <x:c r="A88" s="16" t="str">
        <x:v>LiCl-H2O</x:v>
      </x:c>
      <x:c r="B88" s="17" t="n">
        <x:v>298.15</x:v>
      </x:c>
      <x:c r="C88" s="18" t="n">
        <x:v>0.2718</x:v>
      </x:c>
      <x:c r="D88" s="19" t="n">
        <x:v>1.262</x:v>
      </x:c>
      <x:c r="E88" s="20" t="n">
        <x:v>87</x:v>
      </x:c>
      <x:c r="F88" s="16" t="str">
        <x:v>BIB:LICL:LOBO1993:REF_087</x:v>
      </x:c>
      <x:c r="G88" s="22" t="str">
        <x:v>V. Vitagliano, Gazz. Chim. Ital. 90, 876 (1960)</x:v>
      </x:c>
    </x:row>
    <x:row r="89" ht="15" hidden="0" customHeight="1">
      <x:c r="A89" s="16" t="str">
        <x:v>LiCl-H2O</x:v>
      </x:c>
      <x:c r="B89" s="17" t="n">
        <x:v>298.15</x:v>
      </x:c>
      <x:c r="C89" s="18" t="n">
        <x:v>0.3161</x:v>
      </x:c>
      <x:c r="D89" s="19" t="n">
        <x:v>1.264</x:v>
      </x:c>
      <x:c r="E89" s="20" t="n">
        <x:v>87</x:v>
      </x:c>
      <x:c r="F89" s="16" t="str">
        <x:v>BIB:LICL:LOBO1993:REF_087</x:v>
      </x:c>
      <x:c r="G89" s="22" t="str">
        <x:v>V. Vitagliano, Gazz. Chim. Ital. 90, 876 (1960)</x:v>
      </x:c>
    </x:row>
    <x:row r="90" ht="15" hidden="0" customHeight="1">
      <x:c r="A90" s="16" t="str">
        <x:v>LiCl-H2O</x:v>
      </x:c>
      <x:c r="B90" s="17" t="n">
        <x:v>298.15</x:v>
      </x:c>
      <x:c r="C90" s="18" t="n">
        <x:v>0.3346</x:v>
      </x:c>
      <x:c r="D90" s="19" t="n">
        <x:v>1.264</x:v>
      </x:c>
      <x:c r="E90" s="20" t="n">
        <x:v>87</x:v>
      </x:c>
      <x:c r="F90" s="16" t="str">
        <x:v>BIB:LICL:LOBO1993:REF_087</x:v>
      </x:c>
      <x:c r="G90" s="22" t="str">
        <x:v>V. Vitagliano, Gazz. Chim. Ital. 90, 876 (1960)</x:v>
      </x:c>
    </x:row>
    <x:row r="91" ht="15" hidden="0" customHeight="1">
      <x:c r="A91" s="16" t="str">
        <x:v>LiCl-H2O</x:v>
      </x:c>
      <x:c r="B91" s="17" t="n">
        <x:v>298.15</x:v>
      </x:c>
      <x:c r="C91" s="18" t="n">
        <x:v>0.422</x:v>
      </x:c>
      <x:c r="D91" s="19" t="n">
        <x:v>1.269</x:v>
      </x:c>
      <x:c r="E91" s="20" t="n">
        <x:v>87</x:v>
      </x:c>
      <x:c r="F91" s="16" t="str">
        <x:v>BIB:LICL:LOBO1993:REF_087</x:v>
      </x:c>
      <x:c r="G91" s="22" t="str">
        <x:v>V. Vitagliano, Gazz. Chim. Ital. 90, 876 (1960)</x:v>
      </x:c>
    </x:row>
    <x:row r="92" ht="15" hidden="0" customHeight="1">
      <x:c r="A92" s="16" t="str">
        <x:v>LiCl-H2O</x:v>
      </x:c>
      <x:c r="B92" s="17" t="n">
        <x:v>298.15</x:v>
      </x:c>
      <x:c r="C92" s="18" t="n">
        <x:v>0.5866</x:v>
      </x:c>
      <x:c r="D92" s="19" t="n">
        <x:v>1.278</x:v>
      </x:c>
      <x:c r="E92" s="20" t="n">
        <x:v>87</x:v>
      </x:c>
      <x:c r="F92" s="16" t="str">
        <x:v>BIB:LICL:LOBO1993:REF_087</x:v>
      </x:c>
      <x:c r="G92" s="22" t="str">
        <x:v>V. Vitagliano, Gazz. Chim. Ital. 90, 876 (1960)</x:v>
      </x:c>
    </x:row>
    <x:row r="93" ht="15" hidden="0" customHeight="1">
      <x:c r="A93" s="16" t="str">
        <x:v>LiCl-H2O</x:v>
      </x:c>
      <x:c r="B93" s="17" t="n">
        <x:v>298.15</x:v>
      </x:c>
      <x:c r="C93" s="18" t="n">
        <x:v>0.6598</x:v>
      </x:c>
      <x:c r="D93" s="19" t="n">
        <x:v>1.28</x:v>
      </x:c>
      <x:c r="E93" s="20" t="n">
        <x:v>87</x:v>
      </x:c>
      <x:c r="F93" s="16" t="str">
        <x:v>BIB:LICL:LOBO1993:REF_087</x:v>
      </x:c>
      <x:c r="G93" s="22" t="str">
        <x:v>V. Vitagliano, Gazz. Chim. Ital. 90, 876 (1960)</x:v>
      </x:c>
    </x:row>
    <x:row r="94" ht="15" hidden="0" customHeight="1">
      <x:c r="A94" s="16" t="str">
        <x:v>LiCl-H2O</x:v>
      </x:c>
      <x:c r="B94" s="17" t="n">
        <x:v>298.15</x:v>
      </x:c>
      <x:c r="C94" s="18" t="n">
        <x:v>0.9443</x:v>
      </x:c>
      <x:c r="D94" s="19" t="n">
        <x:v>1.3</x:v>
      </x:c>
      <x:c r="E94" s="20" t="n">
        <x:v>87</x:v>
      </x:c>
      <x:c r="F94" s="16" t="str">
        <x:v>BIB:LICL:LOBO1993:REF_087</x:v>
      </x:c>
      <x:c r="G94" s="22" t="str">
        <x:v>V. Vitagliano, Gazz. Chim. Ital. 90, 876 (1960)</x:v>
      </x:c>
    </x:row>
    <x:row r="95" ht="15" hidden="0" customHeight="1">
      <x:c r="A95" s="16" t="str">
        <x:v>LiCl-H2O</x:v>
      </x:c>
      <x:c r="B95" s="17" t="n">
        <x:v>298.15</x:v>
      </x:c>
      <x:c r="C95" s="18" t="n">
        <x:v>1.1643</x:v>
      </x:c>
      <x:c r="D95" s="19" t="n">
        <x:v>1.317</x:v>
      </x:c>
      <x:c r="E95" s="20" t="n">
        <x:v>87</x:v>
      </x:c>
      <x:c r="F95" s="16" t="str">
        <x:v>BIB:LICL:LOBO1993:REF_087</x:v>
      </x:c>
      <x:c r="G95" s="22" t="str">
        <x:v>V. Vitagliano, Gazz. Chim. Ital. 90, 876 (1960)</x:v>
      </x:c>
    </x:row>
    <x:row r="96" ht="15" hidden="0" customHeight="1">
      <x:c r="A96" s="16" t="str">
        <x:v>LiCl-H2O</x:v>
      </x:c>
      <x:c r="B96" s="17" t="n">
        <x:v>298.15</x:v>
      </x:c>
      <x:c r="C96" s="18" t="n">
        <x:v>1.6658</x:v>
      </x:c>
      <x:c r="D96" s="19" t="n">
        <x:v>1.346</x:v>
      </x:c>
      <x:c r="E96" s="20" t="n">
        <x:v>87</x:v>
      </x:c>
      <x:c r="F96" s="16" t="str">
        <x:v>BIB:LICL:LOBO1993:REF_087</x:v>
      </x:c>
      <x:c r="G96" s="22" t="str">
        <x:v>V. Vitagliano, Gazz. Chim. Ital. 90, 876 (1960)</x:v>
      </x:c>
    </x:row>
    <x:row r="97" ht="15" hidden="0" customHeight="1">
      <x:c r="A97" s="16" t="str">
        <x:v>LiCl-H2O</x:v>
      </x:c>
      <x:c r="B97" s="17" t="n">
        <x:v>298.15</x:v>
      </x:c>
      <x:c r="C97" s="18" t="n">
        <x:v>1.898</x:v>
      </x:c>
      <x:c r="D97" s="19" t="n">
        <x:v>1.364</x:v>
      </x:c>
      <x:c r="E97" s="20" t="n">
        <x:v>87</x:v>
      </x:c>
      <x:c r="F97" s="16" t="str">
        <x:v>BIB:LICL:LOBO1993:REF_087</x:v>
      </x:c>
      <x:c r="G97" s="22" t="str">
        <x:v>V. Vitagliano, Gazz. Chim. Ital. 90, 876 (1960)</x:v>
      </x:c>
    </x:row>
    <x:row r="98" ht="15" hidden="0" customHeight="1">
      <x:c r="A98" s="16" t="str">
        <x:v>LiCl-H2O</x:v>
      </x:c>
      <x:c r="B98" s="17" t="n">
        <x:v>298.15</x:v>
      </x:c>
      <x:c r="C98" s="18" t="n">
        <x:v>2.0493</x:v>
      </x:c>
      <x:c r="D98" s="19" t="n">
        <x:v>1.37</x:v>
      </x:c>
      <x:c r="E98" s="20" t="n">
        <x:v>87</x:v>
      </x:c>
      <x:c r="F98" s="16" t="str">
        <x:v>BIB:LICL:LOBO1993:REF_087</x:v>
      </x:c>
      <x:c r="G98" s="22" t="str">
        <x:v>V. Vitagliano, Gazz. Chim. Ital. 90, 876 (1960)</x:v>
      </x:c>
    </x:row>
    <x:row r="99" ht="15" hidden="0" customHeight="1">
      <x:c r="A99" s="16" t="str">
        <x:v>LiCl-H2O</x:v>
      </x:c>
      <x:c r="B99" s="17" t="n">
        <x:v>298.15</x:v>
      </x:c>
      <x:c r="C99" s="18" t="n">
        <x:v>2.8333</x:v>
      </x:c>
      <x:c r="D99" s="19" t="n">
        <x:v>1.417</x:v>
      </x:c>
      <x:c r="E99" s="20" t="n">
        <x:v>87</x:v>
      </x:c>
      <x:c r="F99" s="16" t="str">
        <x:v>BIB:LICL:LOBO1993:REF_087</x:v>
      </x:c>
      <x:c r="G99" s="22" t="str">
        <x:v>V. Vitagliano, Gazz. Chim. Ital. 90, 876 (1960)</x:v>
      </x:c>
    </x:row>
    <x:row r="100" ht="15" hidden="0" customHeight="1">
      <x:c r="A100" s="16" t="str">
        <x:v>LiCl-H2O</x:v>
      </x:c>
      <x:c r="B100" s="17" t="n">
        <x:v>298.15</x:v>
      </x:c>
      <x:c r="C100" s="18" t="n">
        <x:v>3.2062</x:v>
      </x:c>
      <x:c r="D100" s="19" t="n">
        <x:v>1.436</x:v>
      </x:c>
      <x:c r="E100" s="20" t="n">
        <x:v>87</x:v>
      </x:c>
      <x:c r="F100" s="16" t="str">
        <x:v>BIB:LICL:LOBO1993:REF_087</x:v>
      </x:c>
      <x:c r="G100" s="22" t="str">
        <x:v>V. Vitagliano, Gazz. Chim. Ital. 90, 876 (1960)</x:v>
      </x:c>
    </x:row>
    <x:row r="101" ht="15" hidden="0" customHeight="1">
      <x:c r="A101" s="16" t="str">
        <x:v>LiCl-H2O</x:v>
      </x:c>
      <x:c r="B101" s="17" t="n">
        <x:v>298.15</x:v>
      </x:c>
      <x:c r="C101" s="18" t="n">
        <x:v>3.8109</x:v>
      </x:c>
      <x:c r="D101" s="19" t="n">
        <x:v>1.461</x:v>
      </x:c>
      <x:c r="E101" s="20" t="n">
        <x:v>87</x:v>
      </x:c>
      <x:c r="F101" s="16" t="str">
        <x:v>BIB:LICL:LOBO1993:REF_087</x:v>
      </x:c>
      <x:c r="G101" s="22" t="str">
        <x:v>V. Vitagliano, Gazz. Chim. Ital. 90, 876 (1960)</x:v>
      </x:c>
    </x:row>
    <x:row r="102" ht="15" hidden="0" customHeight="1">
      <x:c r="A102" s="16" t="str">
        <x:v>LiCl-H2O</x:v>
      </x:c>
      <x:c r="B102" s="17" t="n">
        <x:v>298.15</x:v>
      </x:c>
      <x:c r="C102" s="18" t="n">
        <x:v>4.0908</x:v>
      </x:c>
      <x:c r="D102" s="19" t="n">
        <x:v>1.469</x:v>
      </x:c>
      <x:c r="E102" s="20" t="n">
        <x:v>87</x:v>
      </x:c>
      <x:c r="F102" s="16" t="str">
        <x:v>BIB:LICL:LOBO1993:REF_087</x:v>
      </x:c>
      <x:c r="G102" s="22" t="str">
        <x:v>V. Vitagliano, Gazz. Chim. Ital. 90, 876 (1960)</x:v>
      </x:c>
    </x:row>
    <x:row r="103" ht="15" hidden="0" customHeight="1">
      <x:c r="A103" s="16" t="str">
        <x:v>LiCl-H2O</x:v>
      </x:c>
      <x:c r="B103" s="17" t="n">
        <x:v>298.15</x:v>
      </x:c>
      <x:c r="C103" s="18" t="n">
        <x:v>4.4536</x:v>
      </x:c>
      <x:c r="D103" s="19" t="n">
        <x:v>1.474</x:v>
      </x:c>
      <x:c r="E103" s="20" t="n">
        <x:v>87</x:v>
      </x:c>
      <x:c r="F103" s="16" t="str">
        <x:v>BIB:LICL:LOBO1993:REF_087</x:v>
      </x:c>
      <x:c r="G103" s="22" t="str">
        <x:v>V. Vitagliano, Gazz. Chim. Ital. 90, 876 (1960)</x:v>
      </x:c>
    </x:row>
    <x:row r="104" ht="15" hidden="0" customHeight="1">
      <x:c r="A104" s="16" t="str">
        <x:v>LiCl-H2O</x:v>
      </x:c>
      <x:c r="B104" s="17" t="n">
        <x:v>298.15</x:v>
      </x:c>
      <x:c r="C104" s="18" t="n">
        <x:v>4.5598</x:v>
      </x:c>
      <x:c r="D104" s="19" t="n">
        <x:v>1.473</x:v>
      </x:c>
      <x:c r="E104" s="20" t="n">
        <x:v>87</x:v>
      </x:c>
      <x:c r="F104" s="16" t="str">
        <x:v>BIB:LICL:LOBO1993:REF_087</x:v>
      </x:c>
      <x:c r="G104" s="22" t="str">
        <x:v>V. Vitagliano, Gazz. Chim. Ital. 90, 876 (1960)</x:v>
      </x:c>
    </x:row>
    <x:row r="105" ht="15" hidden="0" customHeight="1">
      <x:c r="A105" s="16" t="str">
        <x:v>LiCl-H2O</x:v>
      </x:c>
      <x:c r="B105" s="17" t="n">
        <x:v>298.15</x:v>
      </x:c>
      <x:c r="C105" s="18" t="n">
        <x:v>4.6338</x:v>
      </x:c>
      <x:c r="D105" s="19" t="n">
        <x:v>1.474</x:v>
      </x:c>
      <x:c r="E105" s="20" t="n">
        <x:v>87</x:v>
      </x:c>
      <x:c r="F105" s="16" t="str">
        <x:v>BIB:LICL:LOBO1993:REF_087</x:v>
      </x:c>
      <x:c r="G105" s="22" t="str">
        <x:v>V. Vitagliano, Gazz. Chim. Ital. 90, 876 (1960)</x:v>
      </x:c>
    </x:row>
    <x:row r="106" ht="15" hidden="0" customHeight="1">
      <x:c r="A106" s="16" t="str">
        <x:v>LiCl-H2O</x:v>
      </x:c>
      <x:c r="B106" s="17" t="n">
        <x:v>298.15</x:v>
      </x:c>
      <x:c r="C106" s="18" t="n">
        <x:v>5.9331</x:v>
      </x:c>
      <x:c r="D106" s="19" t="n">
        <x:v>1.455</x:v>
      </x:c>
      <x:c r="E106" s="20" t="n">
        <x:v>87</x:v>
      </x:c>
      <x:c r="F106" s="16" t="str">
        <x:v>BIB:LICL:LOBO1993:REF_087</x:v>
      </x:c>
      <x:c r="G106" s="22" t="str">
        <x:v>V. Vitagliano, Gazz. Chim. Ital. 90, 876 (1960)</x:v>
      </x:c>
    </x:row>
    <x:row r="107" ht="15" hidden="0" customHeight="1">
      <x:c r="A107" s="16" t="str">
        <x:v>LiCl-H2O</x:v>
      </x:c>
      <x:c r="B107" s="17" t="n">
        <x:v>298.15</x:v>
      </x:c>
      <x:c r="C107" s="18" t="n">
        <x:v>6.3864</x:v>
      </x:c>
      <x:c r="D107" s="19" t="n">
        <x:v>1.438</x:v>
      </x:c>
      <x:c r="E107" s="20" t="n">
        <x:v>87</x:v>
      </x:c>
      <x:c r="F107" s="16" t="str">
        <x:v>BIB:LICL:LOBO1993:REF_087</x:v>
      </x:c>
      <x:c r="G107" s="22" t="str">
        <x:v>V. Vitagliano, Gazz. Chim. Ital. 90, 876 (1960)</x:v>
      </x:c>
    </x:row>
    <x:row r="108" ht="15" hidden="0" customHeight="1">
      <x:c r="A108" s="16" t="str">
        <x:v>LiCl-H2O</x:v>
      </x:c>
      <x:c r="B108" s="17" t="n">
        <x:v>298.15</x:v>
      </x:c>
      <x:c r="C108" s="18" t="n">
        <x:v>8.1108</x:v>
      </x:c>
      <x:c r="D108" s="19" t="n">
        <x:v>1.24</x:v>
      </x:c>
      <x:c r="E108" s="20" t="n">
        <x:v>87</x:v>
      </x:c>
      <x:c r="F108" s="16" t="str">
        <x:v>BIB:LICL:LOBO1993:REF_087</x:v>
      </x:c>
      <x:c r="G108" s="22" t="str">
        <x:v>V. Vitagliano, Gazz. Chim. Ital. 90, 876 (1960)</x:v>
      </x:c>
    </x:row>
    <x:row r="109" ht="15" hidden="0" customHeight="1">
      <x:c r="A109" s="16" t="str">
        <x:v>LiCl-H2O</x:v>
      </x:c>
      <x:c r="B109" s="17" t="n">
        <x:v>308.15</x:v>
      </x:c>
      <x:c r="C109" s="18" t="n">
        <x:v>0.1107</x:v>
      </x:c>
      <x:c r="D109" s="19" t="n">
        <x:v>1.605</x:v>
      </x:c>
      <x:c r="E109" s="20" t="n">
        <x:v>87</x:v>
      </x:c>
      <x:c r="F109" s="16" t="str">
        <x:v>BIB:LICL:LOBO1993:REF_087</x:v>
      </x:c>
      <x:c r="G109" s="22" t="str">
        <x:v>V. Vitagliano, Gazz. Chim. Ital. 90, 876 (1960)</x:v>
      </x:c>
    </x:row>
    <x:row r="110" ht="15" hidden="0" customHeight="1">
      <x:c r="A110" s="16" t="str">
        <x:v>LiCl-H2O</x:v>
      </x:c>
      <x:c r="B110" s="17" t="n">
        <x:v>308.15</x:v>
      </x:c>
      <x:c r="C110" s="18" t="n">
        <x:v>0.148</x:v>
      </x:c>
      <x:c r="D110" s="19" t="n">
        <x:v>1.598</x:v>
      </x:c>
      <x:c r="E110" s="20" t="n">
        <x:v>87</x:v>
      </x:c>
      <x:c r="F110" s="16" t="str">
        <x:v>BIB:LICL:LOBO1993:REF_087</x:v>
      </x:c>
      <x:c r="G110" s="22" t="str">
        <x:v>V. Vitagliano, Gazz. Chim. Ital. 90, 876 (1960)</x:v>
      </x:c>
    </x:row>
    <x:row r="111" ht="15" hidden="0" customHeight="1">
      <x:c r="A111" s="16" t="str">
        <x:v>LiCl-H2O</x:v>
      </x:c>
      <x:c r="B111" s="17" t="n">
        <x:v>308.15</x:v>
      </x:c>
      <x:c r="C111" s="18" t="n">
        <x:v>0.2017</x:v>
      </x:c>
      <x:c r="D111" s="19" t="n">
        <x:v>1.599</x:v>
      </x:c>
      <x:c r="E111" s="20" t="n">
        <x:v>87</x:v>
      </x:c>
      <x:c r="F111" s="16" t="str">
        <x:v>BIB:LICL:LOBO1993:REF_087</x:v>
      </x:c>
      <x:c r="G111" s="22" t="str">
        <x:v>V. Vitagliano, Gazz. Chim. Ital. 90, 876 (1960)</x:v>
      </x:c>
    </x:row>
    <x:row r="112" ht="15" hidden="0" customHeight="1">
      <x:c r="A112" s="16" t="str">
        <x:v>LiCl-H2O</x:v>
      </x:c>
      <x:c r="B112" s="17" t="n">
        <x:v>308.15</x:v>
      </x:c>
      <x:c r="C112" s="18" t="n">
        <x:v>0.2999</x:v>
      </x:c>
      <x:c r="D112" s="19" t="n">
        <x:v>1.603</x:v>
      </x:c>
      <x:c r="E112" s="20" t="n">
        <x:v>87</x:v>
      </x:c>
      <x:c r="F112" s="16" t="str">
        <x:v>BIB:LICL:LOBO1993:REF_087</x:v>
      </x:c>
      <x:c r="G112" s="22" t="str">
        <x:v>V. Vitagliano, Gazz. Chim. Ital. 90, 876 (1960)</x:v>
      </x:c>
    </x:row>
    <x:row r="113" ht="15" hidden="0" customHeight="1">
      <x:c r="A113" s="16" t="str">
        <x:v>LiCl-H2O</x:v>
      </x:c>
      <x:c r="B113" s="17" t="n">
        <x:v>308.15</x:v>
      </x:c>
      <x:c r="C113" s="18" t="n">
        <x:v>0.3945</x:v>
      </x:c>
      <x:c r="D113" s="19" t="n">
        <x:v>1.607</x:v>
      </x:c>
      <x:c r="E113" s="20" t="n">
        <x:v>87</x:v>
      </x:c>
      <x:c r="F113" s="16" t="str">
        <x:v>BIB:LICL:LOBO1993:REF_087</x:v>
      </x:c>
      <x:c r="G113" s="22" t="str">
        <x:v>V. Vitagliano, Gazz. Chim. Ital. 90, 876 (1960)</x:v>
      </x:c>
    </x:row>
    <x:row r="114" ht="15" hidden="0" customHeight="1">
      <x:c r="A114" s="16" t="str">
        <x:v>LiCl-H2O</x:v>
      </x:c>
      <x:c r="B114" s="17" t="n">
        <x:v>308.15</x:v>
      </x:c>
      <x:c r="C114" s="18" t="n">
        <x:v>0.6334</x:v>
      </x:c>
      <x:c r="D114" s="19" t="n">
        <x:v>1.618</x:v>
      </x:c>
      <x:c r="E114" s="20" t="n">
        <x:v>87</x:v>
      </x:c>
      <x:c r="F114" s="16" t="str">
        <x:v>BIB:LICL:LOBO1993:REF_087</x:v>
      </x:c>
      <x:c r="G114" s="22" t="str">
        <x:v>V. Vitagliano, Gazz. Chim. Ital. 90, 876 (1960)</x:v>
      </x:c>
    </x:row>
    <x:row r="115" ht="15" hidden="0" customHeight="1">
      <x:c r="A115" s="16" t="str">
        <x:v>LiCl-H2O</x:v>
      </x:c>
      <x:c r="B115" s="17" t="n">
        <x:v>308.15</x:v>
      </x:c>
      <x:c r="C115" s="18" t="n">
        <x:v>0.8604</x:v>
      </x:c>
      <x:c r="D115" s="19" t="n">
        <x:v>1.635</x:v>
      </x:c>
      <x:c r="E115" s="20" t="n">
        <x:v>87</x:v>
      </x:c>
      <x:c r="F115" s="16" t="str">
        <x:v>BIB:LICL:LOBO1993:REF_087</x:v>
      </x:c>
      <x:c r="G115" s="22" t="str">
        <x:v>V. Vitagliano, Gazz. Chim. Ital. 90, 876 (1960)</x:v>
      </x:c>
    </x:row>
    <x:row r="116" ht="15" hidden="0" customHeight="1">
      <x:c r="A116" s="16" t="str">
        <x:v>LiCl-H2O</x:v>
      </x:c>
      <x:c r="B116" s="17" t="n">
        <x:v>308.15</x:v>
      </x:c>
      <x:c r="C116" s="18" t="n">
        <x:v>0.961</x:v>
      </x:c>
      <x:c r="D116" s="19" t="n">
        <x:v>1.639</x:v>
      </x:c>
      <x:c r="E116" s="20" t="n">
        <x:v>87</x:v>
      </x:c>
      <x:c r="F116" s="16" t="str">
        <x:v>BIB:LICL:LOBO1993:REF_087</x:v>
      </x:c>
      <x:c r="G116" s="22" t="str">
        <x:v>V. Vitagliano, Gazz. Chim. Ital. 90, 876 (1960)</x:v>
      </x:c>
    </x:row>
    <x:row r="117" ht="15" hidden="0" customHeight="1">
      <x:c r="A117" s="16" t="str">
        <x:v>LiCl-H2O</x:v>
      </x:c>
      <x:c r="B117" s="17" t="n">
        <x:v>308.15</x:v>
      </x:c>
      <x:c r="C117" s="18" t="n">
        <x:v>1.3336</x:v>
      </x:c>
      <x:c r="D117" s="19" t="n">
        <x:v>1.665</x:v>
      </x:c>
      <x:c r="E117" s="20" t="n">
        <x:v>87</x:v>
      </x:c>
      <x:c r="F117" s="16" t="str">
        <x:v>BIB:LICL:LOBO1993:REF_087</x:v>
      </x:c>
      <x:c r="G117" s="22" t="str">
        <x:v>V. Vitagliano, Gazz. Chim. Ital. 90, 876 (1960)</x:v>
      </x:c>
    </x:row>
    <x:row r="118" ht="15" hidden="0" customHeight="1">
      <x:c r="A118" s="16" t="str">
        <x:v>LiCl-H2O</x:v>
      </x:c>
      <x:c r="B118" s="17" t="n">
        <x:v>308.15</x:v>
      </x:c>
      <x:c r="C118" s="18" t="n">
        <x:v>1.6101</x:v>
      </x:c>
      <x:c r="D118" s="19" t="n">
        <x:v>1.685</x:v>
      </x:c>
      <x:c r="E118" s="20" t="n">
        <x:v>87</x:v>
      </x:c>
      <x:c r="F118" s="16" t="str">
        <x:v>BIB:LICL:LOBO1993:REF_087</x:v>
      </x:c>
      <x:c r="G118" s="22" t="str">
        <x:v>V. Vitagliano, Gazz. Chim. Ital. 90, 876 (1960)</x:v>
      </x:c>
    </x:row>
    <x:row r="119" ht="15" hidden="0" customHeight="1">
      <x:c r="A119" s="16" t="str">
        <x:v>LiCl-H2O</x:v>
      </x:c>
      <x:c r="B119" s="17" t="n">
        <x:v>308.15</x:v>
      </x:c>
      <x:c r="C119" s="18" t="n">
        <x:v>2.0614</x:v>
      </x:c>
      <x:c r="D119" s="19" t="n">
        <x:v>1.714</x:v>
      </x:c>
      <x:c r="E119" s="20" t="n">
        <x:v>87</x:v>
      </x:c>
      <x:c r="F119" s="16" t="str">
        <x:v>BIB:LICL:LOBO1993:REF_087</x:v>
      </x:c>
      <x:c r="G119" s="22" t="str">
        <x:v>V. Vitagliano, Gazz. Chim. Ital. 90, 876 (1960)</x:v>
      </x:c>
    </x:row>
    <x:row r="120" ht="15" hidden="0" customHeight="1">
      <x:c r="A120" s="16" t="str">
        <x:v>LiCl-H2O</x:v>
      </x:c>
      <x:c r="B120" s="17" t="n">
        <x:v>308.15</x:v>
      </x:c>
      <x:c r="C120" s="18" t="n">
        <x:v>2.1986</x:v>
      </x:c>
      <x:c r="D120" s="19" t="n">
        <x:v>1.727</x:v>
      </x:c>
      <x:c r="E120" s="20" t="n">
        <x:v>87</x:v>
      </x:c>
      <x:c r="F120" s="16" t="str">
        <x:v>BIB:LICL:LOBO1993:REF_087</x:v>
      </x:c>
      <x:c r="G120" s="22" t="str">
        <x:v>V. Vitagliano, Gazz. Chim. Ital. 90, 876 (1960)</x:v>
      </x:c>
    </x:row>
    <x:row r="121" ht="15" hidden="0" customHeight="1">
      <x:c r="A121" s="16" t="str">
        <x:v>LiCl-H2O</x:v>
      </x:c>
      <x:c r="B121" s="17" t="n">
        <x:v>308.15</x:v>
      </x:c>
      <x:c r="C121" s="18" t="n">
        <x:v>2.6566</x:v>
      </x:c>
      <x:c r="D121" s="19" t="n">
        <x:v>1.76</x:v>
      </x:c>
      <x:c r="E121" s="20" t="n">
        <x:v>87</x:v>
      </x:c>
      <x:c r="F121" s="16" t="str">
        <x:v>BIB:LICL:LOBO1993:REF_087</x:v>
      </x:c>
      <x:c r="G121" s="22" t="str">
        <x:v>V. Vitagliano, Gazz. Chim. Ital. 90, 876 (1960)</x:v>
      </x:c>
    </x:row>
    <x:row r="122" ht="15" hidden="0" customHeight="1">
      <x:c r="A122" s="16" t="str">
        <x:v>LiCl-H2O</x:v>
      </x:c>
      <x:c r="B122" s="17" t="n">
        <x:v>308.15</x:v>
      </x:c>
      <x:c r="C122" s="18" t="n">
        <x:v>3.1857</x:v>
      </x:c>
      <x:c r="D122" s="19" t="n">
        <x:v>1.791</x:v>
      </x:c>
      <x:c r="E122" s="20" t="n">
        <x:v>87</x:v>
      </x:c>
      <x:c r="F122" s="16" t="str">
        <x:v>BIB:LICL:LOBO1993:REF_087</x:v>
      </x:c>
      <x:c r="G122" s="22" t="str">
        <x:v>V. Vitagliano, Gazz. Chim. Ital. 90, 876 (1960)</x:v>
      </x:c>
    </x:row>
    <x:row r="123" ht="15" hidden="0" customHeight="1">
      <x:c r="A123" s="16" t="str">
        <x:v>LiCl-H2O</x:v>
      </x:c>
      <x:c r="B123" s="17" t="n">
        <x:v>308.15</x:v>
      </x:c>
      <x:c r="C123" s="18" t="n">
        <x:v>3.5376</x:v>
      </x:c>
      <x:c r="D123" s="19" t="n">
        <x:v>1.802</x:v>
      </x:c>
      <x:c r="E123" s="20" t="n">
        <x:v>87</x:v>
      </x:c>
      <x:c r="F123" s="16" t="str">
        <x:v>BIB:LICL:LOBO1993:REF_087</x:v>
      </x:c>
      <x:c r="G123" s="22" t="str">
        <x:v>V. Vitagliano, Gazz. Chim. Ital. 90, 876 (1960)</x:v>
      </x:c>
    </x:row>
    <x:row r="124" ht="15" hidden="0" customHeight="1">
      <x:c r="A124" s="16" t="str">
        <x:v>LiCl-H2O</x:v>
      </x:c>
      <x:c r="B124" s="17" t="n">
        <x:v>308.15</x:v>
      </x:c>
      <x:c r="C124" s="18" t="n">
        <x:v>3.7947</x:v>
      </x:c>
      <x:c r="D124" s="19" t="n">
        <x:v>1.809</x:v>
      </x:c>
      <x:c r="E124" s="20" t="n">
        <x:v>87</x:v>
      </x:c>
      <x:c r="F124" s="16" t="str">
        <x:v>BIB:LICL:LOBO1993:REF_087</x:v>
      </x:c>
      <x:c r="G124" s="22" t="str">
        <x:v>V. Vitagliano, Gazz. Chim. Ital. 90, 876 (1960)</x:v>
      </x:c>
    </x:row>
    <x:row r="125" ht="15" hidden="0" customHeight="1">
      <x:c r="A125" s="16" t="str">
        <x:v>LiCl-H2O</x:v>
      </x:c>
      <x:c r="B125" s="17" t="n">
        <x:v>308.15</x:v>
      </x:c>
      <x:c r="C125" s="18" t="n">
        <x:v>4.3175</x:v>
      </x:c>
      <x:c r="D125" s="19" t="n">
        <x:v>1.82</x:v>
      </x:c>
      <x:c r="E125" s="20" t="n">
        <x:v>87</x:v>
      </x:c>
      <x:c r="F125" s="16" t="str">
        <x:v>BIB:LICL:LOBO1993:REF_087</x:v>
      </x:c>
      <x:c r="G125" s="22" t="str">
        <x:v>V. Vitagliano, Gazz. Chim. Ital. 90, 876 (1960)</x:v>
      </x:c>
    </x:row>
    <x:row r="126" ht="15" hidden="0" customHeight="1">
      <x:c r="A126" s="16" t="str">
        <x:v>LiCl-H2O</x:v>
      </x:c>
      <x:c r="B126" s="17" t="n">
        <x:v>308.15</x:v>
      </x:c>
      <x:c r="C126" s="18" t="n">
        <x:v>4.4077</x:v>
      </x:c>
      <x:c r="D126" s="19" t="n">
        <x:v>1.817</x:v>
      </x:c>
      <x:c r="E126" s="20" t="n">
        <x:v>87</x:v>
      </x:c>
      <x:c r="F126" s="16" t="str">
        <x:v>BIB:LICL:LOBO1993:REF_087</x:v>
      </x:c>
      <x:c r="G126" s="22" t="str">
        <x:v>V. Vitagliano, Gazz. Chim. Ital. 90, 876 (1960)</x:v>
      </x:c>
    </x:row>
    <x:row r="127" ht="15" hidden="0" customHeight="1">
      <x:c r="A127" s="16" t="str">
        <x:v>LiCl-H2O</x:v>
      </x:c>
      <x:c r="B127" s="17" t="n">
        <x:v>308.15</x:v>
      </x:c>
      <x:c r="C127" s="18" t="n">
        <x:v>4.9397</x:v>
      </x:c>
      <x:c r="D127" s="19" t="n">
        <x:v>1.822</x:v>
      </x:c>
      <x:c r="E127" s="20" t="n">
        <x:v>87</x:v>
      </x:c>
      <x:c r="F127" s="16" t="str">
        <x:v>BIB:LICL:LOBO1993:REF_087</x:v>
      </x:c>
      <x:c r="G127" s="22" t="str">
        <x:v>V. Vitagliano, Gazz. Chim. Ital. 90, 876 (1960)</x:v>
      </x:c>
    </x:row>
    <x:row r="128" ht="15" hidden="0" customHeight="1">
      <x:c r="A128" s="16" t="str">
        <x:v>LiCl-H2O</x:v>
      </x:c>
      <x:c r="B128" s="17" t="n">
        <x:v>308.15</x:v>
      </x:c>
      <x:c r="C128" s="18" t="n">
        <x:v>5.237</x:v>
      </x:c>
      <x:c r="D128" s="19" t="n">
        <x:v>1.822</x:v>
      </x:c>
      <x:c r="E128" s="20" t="n">
        <x:v>87</x:v>
      </x:c>
      <x:c r="F128" s="16" t="str">
        <x:v>BIB:LICL:LOBO1993:REF_087</x:v>
      </x:c>
      <x:c r="G128" s="22" t="str">
        <x:v>V. Vitagliano, Gazz. Chim. Ital. 90, 876 (1960)</x:v>
      </x:c>
    </x:row>
    <x:row r="129" ht="15" hidden="0" customHeight="1">
      <x:c r="A129" s="16" t="str">
        <x:v>LiCl-H2O</x:v>
      </x:c>
      <x:c r="B129" s="17" t="n">
        <x:v>308.15</x:v>
      </x:c>
      <x:c r="C129" s="18" t="n">
        <x:v>5.8114</x:v>
      </x:c>
      <x:c r="D129" s="19" t="n">
        <x:v>1.794</x:v>
      </x:c>
      <x:c r="E129" s="20" t="n">
        <x:v>87</x:v>
      </x:c>
      <x:c r="F129" s="16" t="str">
        <x:v>BIB:LICL:LOBO1993:REF_087</x:v>
      </x:c>
      <x:c r="G129" s="22" t="str">
        <x:v>V. Vitagliano, Gazz. Chim. Ital. 90, 876 (1960)</x:v>
      </x:c>
    </x:row>
    <x:row r="130" ht="15" hidden="0" customHeight="1">
      <x:c r="A130" s="16" t="str">
        <x:v>LiCl-H2O</x:v>
      </x:c>
      <x:c r="B130" s="17" t="n">
        <x:v>308.15</x:v>
      </x:c>
      <x:c r="C130" s="18" t="n">
        <x:v>6.5994</x:v>
      </x:c>
      <x:c r="D130" s="19" t="n">
        <x:v>1.741</x:v>
      </x:c>
      <x:c r="E130" s="20" t="n">
        <x:v>87</x:v>
      </x:c>
      <x:c r="F130" s="16" t="str">
        <x:v>BIB:LICL:LOBO1993:REF_087</x:v>
      </x:c>
      <x:c r="G130" s="22" t="str">
        <x:v>V. Vitagliano, Gazz. Chim. Ital. 90, 876 (1960)</x:v>
      </x:c>
    </x:row>
    <x:row r="131" ht="15" hidden="0" customHeight="1">
      <x:c r="A131" s="16" t="str">
        <x:v>LiCl-H2O</x:v>
      </x:c>
      <x:c r="B131" s="17" t="n">
        <x:v>308.15</x:v>
      </x:c>
      <x:c r="C131" s="18" t="n">
        <x:v>7.0118</x:v>
      </x:c>
      <x:c r="D131" s="19" t="n">
        <x:v>1.694</x:v>
      </x:c>
      <x:c r="E131" s="20" t="n">
        <x:v>87</x:v>
      </x:c>
      <x:c r="F131" s="16" t="str">
        <x:v>BIB:LICL:LOBO1993:REF_087</x:v>
      </x:c>
      <x:c r="G131" s="22" t="str">
        <x:v>V. Vitagliano, Gazz. Chim. Ital. 90, 876 (1960)</x:v>
      </x:c>
    </x:row>
    <x:row r="132" ht="15" hidden="0" customHeight="1">
      <x:c r="A132" s="16" t="str">
        <x:v>LiCl-H2O</x:v>
      </x:c>
      <x:c r="B132" s="17" t="n">
        <x:v>323.15</x:v>
      </x:c>
      <x:c r="C132" s="18" t="n">
        <x:v>0.1866</x:v>
      </x:c>
      <x:c r="D132" s="19" t="n">
        <x:v>2.19</x:v>
      </x:c>
      <x:c r="E132" s="20" t="n">
        <x:v>87</x:v>
      </x:c>
      <x:c r="F132" s="16" t="str">
        <x:v>BIB:LICL:LOBO1993:REF_087</x:v>
      </x:c>
      <x:c r="G132" s="22" t="str">
        <x:v>V. Vitagliano, Gazz. Chim. Ital. 90, 876 (1960)</x:v>
      </x:c>
    </x:row>
    <x:row r="133" ht="15" hidden="0" customHeight="1">
      <x:c r="A133" s="16" t="str">
        <x:v>LiCl-H2O</x:v>
      </x:c>
      <x:c r="B133" s="17" t="n">
        <x:v>323.15</x:v>
      </x:c>
      <x:c r="C133" s="18" t="n">
        <x:v>0.2457</x:v>
      </x:c>
      <x:c r="D133" s="19" t="n">
        <x:v>2.183</x:v>
      </x:c>
      <x:c r="E133" s="20" t="n">
        <x:v>87</x:v>
      </x:c>
      <x:c r="F133" s="16" t="str">
        <x:v>BIB:LICL:LOBO1993:REF_087</x:v>
      </x:c>
      <x:c r="G133" s="22" t="str">
        <x:v>V. Vitagliano, Gazz. Chim. Ital. 90, 876 (1960)</x:v>
      </x:c>
    </x:row>
    <x:row r="134" ht="15" hidden="0" customHeight="1">
      <x:c r="A134" s="16" t="str">
        <x:v>LiCl-H2O</x:v>
      </x:c>
      <x:c r="B134" s="17" t="n">
        <x:v>323.15</x:v>
      </x:c>
      <x:c r="C134" s="18" t="n">
        <x:v>0.2946</x:v>
      </x:c>
      <x:c r="D134" s="19" t="n">
        <x:v>2.176</x:v>
      </x:c>
      <x:c r="E134" s="20" t="n">
        <x:v>87</x:v>
      </x:c>
      <x:c r="F134" s="16" t="str">
        <x:v>BIB:LICL:LOBO1993:REF_087</x:v>
      </x:c>
      <x:c r="G134" s="22" t="str">
        <x:v>V. Vitagliano, Gazz. Chim. Ital. 90, 876 (1960)</x:v>
      </x:c>
    </x:row>
    <x:row r="135" ht="15" hidden="0" customHeight="1">
      <x:c r="A135" s="16" t="str">
        <x:v>LiCl-H2O</x:v>
      </x:c>
      <x:c r="B135" s="17" t="n">
        <x:v>323.15</x:v>
      </x:c>
      <x:c r="C135" s="18" t="n">
        <x:v>0.3925</x:v>
      </x:c>
      <x:c r="D135" s="19" t="n">
        <x:v>2.174</x:v>
      </x:c>
      <x:c r="E135" s="20" t="n">
        <x:v>87</x:v>
      </x:c>
      <x:c r="F135" s="16" t="str">
        <x:v>BIB:LICL:LOBO1993:REF_087</x:v>
      </x:c>
      <x:c r="G135" s="22" t="str">
        <x:v>V. Vitagliano, Gazz. Chim. Ital. 90, 876 (1960)</x:v>
      </x:c>
    </x:row>
    <x:row r="136" ht="15" hidden="0" customHeight="1">
      <x:c r="A136" s="16" t="str">
        <x:v>LiCl-H2O</x:v>
      </x:c>
      <x:c r="B136" s="17" t="n">
        <x:v>323.15</x:v>
      </x:c>
      <x:c r="C136" s="18" t="n">
        <x:v>0.4212</x:v>
      </x:c>
      <x:c r="D136" s="19" t="n">
        <x:v>2.176</x:v>
      </x:c>
      <x:c r="E136" s="20" t="n">
        <x:v>87</x:v>
      </x:c>
      <x:c r="F136" s="16" t="str">
        <x:v>BIB:LICL:LOBO1993:REF_087</x:v>
      </x:c>
      <x:c r="G136" s="22" t="str">
        <x:v>V. Vitagliano, Gazz. Chim. Ital. 90, 876 (1960)</x:v>
      </x:c>
    </x:row>
    <x:row r="137" ht="15" hidden="0" customHeight="1">
      <x:c r="A137" s="16" t="str">
        <x:v>LiCl-H2O</x:v>
      </x:c>
      <x:c r="B137" s="17" t="n">
        <x:v>323.15</x:v>
      </x:c>
      <x:c r="C137" s="18" t="n">
        <x:v>0.4892</x:v>
      </x:c>
      <x:c r="D137" s="19" t="n">
        <x:v>2.178</x:v>
      </x:c>
      <x:c r="E137" s="20" t="n">
        <x:v>87</x:v>
      </x:c>
      <x:c r="F137" s="16" t="str">
        <x:v>BIB:LICL:LOBO1993:REF_087</x:v>
      </x:c>
      <x:c r="G137" s="22" t="str">
        <x:v>V. Vitagliano, Gazz. Chim. Ital. 90, 876 (1960)</x:v>
      </x:c>
    </x:row>
    <x:row r="138" ht="15" hidden="0" customHeight="1">
      <x:c r="A138" s="16" t="str">
        <x:v>LiCl-H2O</x:v>
      </x:c>
      <x:c r="B138" s="17" t="n">
        <x:v>323.15</x:v>
      </x:c>
      <x:c r="C138" s="18" t="n">
        <x:v>0.4892</x:v>
      </x:c>
      <x:c r="D138" s="19" t="n">
        <x:v>2.18</x:v>
      </x:c>
      <x:c r="E138" s="20" t="n">
        <x:v>87</x:v>
      </x:c>
      <x:c r="F138" s="16" t="str">
        <x:v>BIB:LICL:LOBO1993:REF_087</x:v>
      </x:c>
      <x:c r="G138" s="22" t="str">
        <x:v>V. Vitagliano, Gazz. Chim. Ital. 90, 876 (1960)</x:v>
      </x:c>
    </x:row>
    <x:row r="139" ht="15" hidden="0" customHeight="1">
      <x:c r="A139" s="16" t="str">
        <x:v>LiCl-H2O</x:v>
      </x:c>
      <x:c r="B139" s="17" t="n">
        <x:v>323.15</x:v>
      </x:c>
      <x:c r="C139" s="18" t="n">
        <x:v>0.5866</x:v>
      </x:c>
      <x:c r="D139" s="19" t="n">
        <x:v>2.185</x:v>
      </x:c>
      <x:c r="E139" s="20" t="n">
        <x:v>87</x:v>
      </x:c>
      <x:c r="F139" s="16" t="str">
        <x:v>BIB:LICL:LOBO1993:REF_087</x:v>
      </x:c>
      <x:c r="G139" s="22" t="str">
        <x:v>V. Vitagliano, Gazz. Chim. Ital. 90, 876 (1960)</x:v>
      </x:c>
    </x:row>
    <x:row r="140" ht="15" hidden="0" customHeight="1">
      <x:c r="A140" s="16" t="str">
        <x:v>LiCl-H2O</x:v>
      </x:c>
      <x:c r="B140" s="17" t="n">
        <x:v>323.15</x:v>
      </x:c>
      <x:c r="C140" s="18" t="n">
        <x:v>0.9701</x:v>
      </x:c>
      <x:c r="D140" s="19" t="n">
        <x:v>2.21</x:v>
      </x:c>
      <x:c r="E140" s="20" t="n">
        <x:v>87</x:v>
      </x:c>
      <x:c r="F140" s="16" t="str">
        <x:v>BIB:LICL:LOBO1993:REF_087</x:v>
      </x:c>
      <x:c r="G140" s="22" t="str">
        <x:v>V. Vitagliano, Gazz. Chim. Ital. 90, 876 (1960)</x:v>
      </x:c>
    </x:row>
    <x:row r="141" ht="15" hidden="0" customHeight="1">
      <x:c r="A141" s="16" t="str">
        <x:v>LiCl-H2O</x:v>
      </x:c>
      <x:c r="B141" s="17" t="n">
        <x:v>323.15</x:v>
      </x:c>
      <x:c r="C141" s="18" t="n">
        <x:v>1.2323</x:v>
      </x:c>
      <x:c r="D141" s="19" t="n">
        <x:v>2.242</x:v>
      </x:c>
      <x:c r="E141" s="20" t="n">
        <x:v>87</x:v>
      </x:c>
      <x:c r="F141" s="16" t="str">
        <x:v>BIB:LICL:LOBO1993:REF_087</x:v>
      </x:c>
      <x:c r="G141" s="22" t="str">
        <x:v>V. Vitagliano, Gazz. Chim. Ital. 90, 876 (1960)</x:v>
      </x:c>
    </x:row>
    <x:row r="142" ht="15" hidden="0" customHeight="1">
      <x:c r="A142" s="16" t="str">
        <x:v>LiCl-H2O</x:v>
      </x:c>
      <x:c r="B142" s="17" t="n">
        <x:v>323.15</x:v>
      </x:c>
      <x:c r="C142" s="18" t="n">
        <x:v>1.4418</x:v>
      </x:c>
      <x:c r="D142" s="19" t="n">
        <x:v>2.262</x:v>
      </x:c>
      <x:c r="E142" s="20" t="n">
        <x:v>87</x:v>
      </x:c>
      <x:c r="F142" s="16" t="str">
        <x:v>BIB:LICL:LOBO1993:REF_087</x:v>
      </x:c>
      <x:c r="G142" s="22" t="str">
        <x:v>V. Vitagliano, Gazz. Chim. Ital. 90, 876 (1960)</x:v>
      </x:c>
    </x:row>
    <x:row r="143" ht="15" hidden="0" customHeight="1">
      <x:c r="A143" s="16" t="str">
        <x:v>LiCl-H2O</x:v>
      </x:c>
      <x:c r="B143" s="17" t="n">
        <x:v>323.15</x:v>
      </x:c>
      <x:c r="C143" s="18" t="n">
        <x:v>1.4419</x:v>
      </x:c>
      <x:c r="D143" s="19" t="n">
        <x:v>2.264</x:v>
      </x:c>
      <x:c r="E143" s="20" t="n">
        <x:v>87</x:v>
      </x:c>
      <x:c r="F143" s="16" t="str">
        <x:v>BIB:LICL:LOBO1993:REF_087</x:v>
      </x:c>
      <x:c r="G143" s="22" t="str">
        <x:v>V. Vitagliano, Gazz. Chim. Ital. 90, 876 (1960)</x:v>
      </x:c>
    </x:row>
    <x:row r="144" ht="15" hidden="0" customHeight="1">
      <x:c r="A144" s="16" t="str">
        <x:v>LiCl-H2O</x:v>
      </x:c>
      <x:c r="B144" s="17" t="n">
        <x:v>323.15</x:v>
      </x:c>
      <x:c r="C144" s="18" t="n">
        <x:v>1.9042</x:v>
      </x:c>
      <x:c r="D144" s="19" t="n">
        <x:v>2.306</x:v>
      </x:c>
      <x:c r="E144" s="20" t="n">
        <x:v>87</x:v>
      </x:c>
      <x:c r="F144" s="16" t="str">
        <x:v>BIB:LICL:LOBO1993:REF_087</x:v>
      </x:c>
      <x:c r="G144" s="22" t="str">
        <x:v>V. Vitagliano, Gazz. Chim. Ital. 90, 876 (1960)</x:v>
      </x:c>
    </x:row>
    <x:row r="145" ht="15" hidden="0" customHeight="1">
      <x:c r="A145" s="16" t="str">
        <x:v>LiCl-H2O</x:v>
      </x:c>
      <x:c r="B145" s="17" t="n">
        <x:v>323.15</x:v>
      </x:c>
      <x:c r="C145" s="18" t="n">
        <x:v>2.358</x:v>
      </x:c>
      <x:c r="D145" s="19" t="n">
        <x:v>2.334</x:v>
      </x:c>
      <x:c r="E145" s="20" t="n">
        <x:v>87</x:v>
      </x:c>
      <x:c r="F145" s="16" t="str">
        <x:v>BIB:LICL:LOBO1993:REF_087</x:v>
      </x:c>
      <x:c r="G145" s="22" t="str">
        <x:v>V. Vitagliano, Gazz. Chim. Ital. 90, 876 (1960)</x:v>
      </x:c>
    </x:row>
    <x:row r="146" ht="15" hidden="0" customHeight="1">
      <x:c r="A146" s="16" t="str">
        <x:v>LiCl-H2O</x:v>
      </x:c>
      <x:c r="B146" s="17" t="n">
        <x:v>323.15</x:v>
      </x:c>
      <x:c r="C146" s="18" t="n">
        <x:v>2.3581</x:v>
      </x:c>
      <x:c r="D146" s="19" t="n">
        <x:v>2.334</x:v>
      </x:c>
      <x:c r="E146" s="20" t="n">
        <x:v>87</x:v>
      </x:c>
      <x:c r="F146" s="16" t="str">
        <x:v>BIB:LICL:LOBO1993:REF_087</x:v>
      </x:c>
      <x:c r="G146" s="22" t="str">
        <x:v>V. Vitagliano, Gazz. Chim. Ital. 90, 876 (1960)</x:v>
      </x:c>
    </x:row>
    <x:row r="147" ht="15" hidden="0" customHeight="1">
      <x:c r="A147" s="16" t="str">
        <x:v>LiCl-H2O</x:v>
      </x:c>
      <x:c r="B147" s="17" t="n">
        <x:v>323.15</x:v>
      </x:c>
      <x:c r="C147" s="18" t="n">
        <x:v>2.8026</x:v>
      </x:c>
      <x:c r="D147" s="19" t="n">
        <x:v>2.362</x:v>
      </x:c>
      <x:c r="E147" s="20" t="n">
        <x:v>87</x:v>
      </x:c>
      <x:c r="F147" s="16" t="str">
        <x:v>BIB:LICL:LOBO1993:REF_087</x:v>
      </x:c>
      <x:c r="G147" s="22" t="str">
        <x:v>V. Vitagliano, Gazz. Chim. Ital. 90, 876 (1960)</x:v>
      </x:c>
    </x:row>
    <x:row r="148" ht="15" hidden="0" customHeight="1">
      <x:c r="A148" s="16" t="str">
        <x:v>LiCl-H2O</x:v>
      </x:c>
      <x:c r="B148" s="17" t="n">
        <x:v>323.15</x:v>
      </x:c>
      <x:c r="C148" s="18" t="n">
        <x:v>3.6627</x:v>
      </x:c>
      <x:c r="D148" s="19" t="n">
        <x:v>2.394</x:v>
      </x:c>
      <x:c r="E148" s="20" t="n">
        <x:v>87</x:v>
      </x:c>
      <x:c r="F148" s="16" t="str">
        <x:v>BIB:LICL:LOBO1993:REF_087</x:v>
      </x:c>
      <x:c r="G148" s="22" t="str">
        <x:v>V. Vitagliano, Gazz. Chim. Ital. 90, 876 (1960)</x:v>
      </x:c>
    </x:row>
    <x:row r="149" ht="15" hidden="0" customHeight="1">
      <x:c r="A149" s="16" t="str">
        <x:v>LiCl-H2O</x:v>
      </x:c>
      <x:c r="B149" s="17" t="n">
        <x:v>323.15</x:v>
      </x:c>
      <x:c r="C149" s="18" t="n">
        <x:v>3.6656</x:v>
      </x:c>
      <x:c r="D149" s="19" t="n">
        <x:v>2.397</x:v>
      </x:c>
      <x:c r="E149" s="20" t="n">
        <x:v>87</x:v>
      </x:c>
      <x:c r="F149" s="16" t="str">
        <x:v>BIB:LICL:LOBO1993:REF_087</x:v>
      </x:c>
      <x:c r="G149" s="22" t="str">
        <x:v>V. Vitagliano, Gazz. Chim. Ital. 90, 876 (1960)</x:v>
      </x:c>
    </x:row>
    <x:row r="150" ht="15" hidden="0" customHeight="1">
      <x:c r="A150" s="16" t="str">
        <x:v>LiCl-H2O</x:v>
      </x:c>
      <x:c r="B150" s="17" t="n">
        <x:v>323.15</x:v>
      </x:c>
      <x:c r="C150" s="18" t="n">
        <x:v>4.4953</x:v>
      </x:c>
      <x:c r="D150" s="19" t="n">
        <x:v>2.406</x:v>
      </x:c>
      <x:c r="E150" s="20" t="n">
        <x:v>87</x:v>
      </x:c>
      <x:c r="F150" s="16" t="str">
        <x:v>BIB:LICL:LOBO1993:REF_087</x:v>
      </x:c>
      <x:c r="G150" s="22" t="str">
        <x:v>V. Vitagliano, Gazz. Chim. Ital. 90, 876 (1960)</x:v>
      </x:c>
    </x:row>
    <x:row r="151" ht="15" hidden="0" customHeight="1">
      <x:c r="A151" s="16" t="str">
        <x:v>LiCl-H2O</x:v>
      </x:c>
      <x:c r="B151" s="17" t="n">
        <x:v>323.15</x:v>
      </x:c>
      <x:c r="C151" s="18" t="n">
        <x:v>4.496</x:v>
      </x:c>
      <x:c r="D151" s="19" t="n">
        <x:v>2.406</x:v>
      </x:c>
      <x:c r="E151" s="20" t="n">
        <x:v>87</x:v>
      </x:c>
      <x:c r="F151" s="16" t="str">
        <x:v>BIB:LICL:LOBO1993:REF_087</x:v>
      </x:c>
      <x:c r="G151" s="22" t="str">
        <x:v>V. Vitagliano, Gazz. Chim. Ital. 90, 876 (1960)</x:v>
      </x:c>
    </x:row>
    <x:row r="152" ht="15" hidden="0" customHeight="1">
      <x:c r="A152" s="16" t="str">
        <x:v>LiCl-H2O</x:v>
      </x:c>
      <x:c r="B152" s="17" t="n">
        <x:v>323.15</x:v>
      </x:c>
      <x:c r="C152" s="18" t="n">
        <x:v>5.2928</x:v>
      </x:c>
      <x:c r="D152" s="19" t="n">
        <x:v>2.385</x:v>
      </x:c>
      <x:c r="E152" s="20" t="n">
        <x:v>87</x:v>
      </x:c>
      <x:c r="F152" s="16" t="str">
        <x:v>BIB:LICL:LOBO1993:REF_087</x:v>
      </x:c>
      <x:c r="G152" s="22" t="str">
        <x:v>V. Vitagliano, Gazz. Chim. Ital. 90, 876 (1960)</x:v>
      </x:c>
    </x:row>
    <x:row r="153" ht="15" hidden="0" customHeight="1">
      <x:c r="A153" s="16" t="str">
        <x:v>LiCl-H2O</x:v>
      </x:c>
      <x:c r="B153" s="17" t="n">
        <x:v>323.15</x:v>
      </x:c>
      <x:c r="C153" s="18" t="n">
        <x:v>5.2929</x:v>
      </x:c>
      <x:c r="D153" s="19" t="n">
        <x:v>2.385</x:v>
      </x:c>
      <x:c r="E153" s="20" t="n">
        <x:v>87</x:v>
      </x:c>
      <x:c r="F153" s="16" t="str">
        <x:v>BIB:LICL:LOBO1993:REF_087</x:v>
      </x:c>
      <x:c r="G153" s="22" t="str">
        <x:v>V. Vitagliano, Gazz. Chim. Ital. 90, 876 (1960)</x:v>
      </x:c>
    </x:row>
  </x:sheetData>
  <x:conditionalFormatting sqref="A2:G153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4dfc53e2da46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13.75" hidden="0" customWidth="1"/>
    <x:col min="4" max="4" width="13.75" hidden="0" customWidth="1"/>
    <x:col min="5" max="5" width="18.1299991607666" hidden="0" customWidth="1"/>
    <x:col min="6" max="6" width="18.1299991607666" hidden="0" customWidth="1"/>
    <x:col min="7" max="7" width="21.8799991607666" hidden="0" customWidth="1"/>
    <x:col min="8" max="8" width="21.8799991607666" hidden="0" customWidth="1"/>
    <x:col min="9" max="9" width="65" hidden="0" customWidth="1"/>
  </x:cols>
  <x:sheetData>
    <x:row r="1" ht="28.5" customHeight="1">
      <x:c r="A1" s="12" t="str">
        <x:v>system</x:v>
      </x:c>
      <x:c r="B1" s="13" t="str">
        <x:v>model_group_id</x:v>
      </x:c>
      <x:c r="C1" s="13" t="str">
        <x:v>lobo_ref_no</x:v>
      </x:c>
      <x:c r="D1" s="13" t="str">
        <x:v>record_count</x:v>
      </x:c>
      <x:c r="E1" s="13" t="str">
        <x:v>temperature_min_K</x:v>
      </x:c>
      <x:c r="F1" s="13" t="str">
        <x:v>temperature_max_K</x:v>
      </x:c>
      <x:c r="G1" s="13" t="str">
        <x:v>concentration_min_mol_L</x:v>
      </x:c>
      <x:c r="H1" s="13" t="str">
        <x:v>concentration_max_mol_L</x:v>
      </x:c>
      <x:c r="I1" s="14" t="str">
        <x:v>original_reference</x:v>
      </x:c>
    </x:row>
    <x:row r="2" ht="15" hidden="0" customHeight="1">
      <x:c r="A2" s="16" t="str">
        <x:v>LiCl-H2O</x:v>
      </x:c>
      <x:c r="B2" s="16" t="str">
        <x:v>BIB:LICL:LOBO1993:REF_006</x:v>
      </x:c>
      <x:c r="C2" s="20" t="n">
        <x:v>6</x:v>
      </x:c>
      <x:c r="D2" s="20" t="n">
        <x:f>COUNTIF('Confirmed_Records'!$F$2:$F$153,B2)</x:f>
        <x:v>1</x:v>
      </x:c>
      <x:c r="E2" s="17" t="n">
        <x:f>SUMPRODUCT(MIN(('Confirmed_Records'!$F$2:$F$153&lt;&gt;B2)*1000000+'Confirmed_Records'!$B$2:$B$153))</x:f>
        <x:v>298.15</x:v>
      </x:c>
      <x:c r="F2" s="17" t="n">
        <x:f>SUMPRODUCT(MAX(('Confirmed_Records'!$F$2:$F$153=B2)*'Confirmed_Records'!$B$2:$B$153))</x:f>
        <x:v>298.15</x:v>
      </x:c>
      <x:c r="G2" s="18" t="n">
        <x:f>SUMPRODUCT(MIN(('Confirmed_Records'!$F$2:$F$153&lt;&gt;B2)*1000000+'Confirmed_Records'!$C$2:$C$153))</x:f>
        <x:v>4</x:v>
      </x:c>
      <x:c r="H2" s="18" t="n">
        <x:f>SUMPRODUCT(MAX(('Confirmed_Records'!$F$2:$F$153=B2)*'Confirmed_Records'!$C$2:$C$153))</x:f>
        <x:v>4</x:v>
      </x:c>
      <x:c r="I2" s="22" t="str">
        <x:v>P. C. Carman, J. Phys. Chem. 73, 1095 (1969)</x:v>
      </x:c>
    </x:row>
    <x:row r="3" ht="15" hidden="0" customHeight="1">
      <x:c r="A3" s="16" t="str">
        <x:v>LiCl-H2O</x:v>
      </x:c>
      <x:c r="B3" s="16" t="str">
        <x:v>BIB:LICL:LOBO1993:REF_029</x:v>
      </x:c>
      <x:c r="C3" s="20" t="n">
        <x:v>29</x:v>
      </x:c>
      <x:c r="D3" s="20" t="n">
        <x:f>COUNTIF('Confirmed_Records'!$F$2:$F$153,B3)</x:f>
        <x:v>15</x:v>
      </x:c>
      <x:c r="E3" s="17" t="n">
        <x:f>SUMPRODUCT(MIN(('Confirmed_Records'!$F$2:$F$153&lt;&gt;B3)*1000000+'Confirmed_Records'!$B$2:$B$153))</x:f>
        <x:v>298.15</x:v>
      </x:c>
      <x:c r="F3" s="17" t="n">
        <x:f>SUMPRODUCT(MAX(('Confirmed_Records'!$F$2:$F$153=B3)*'Confirmed_Records'!$B$2:$B$153))</x:f>
        <x:v>298.15</x:v>
      </x:c>
      <x:c r="G3" s="18" t="n">
        <x:f>SUMPRODUCT(MIN(('Confirmed_Records'!$F$2:$F$153&lt;&gt;B3)*1000000+'Confirmed_Records'!$C$2:$C$153))</x:f>
        <x:v>0</x:v>
      </x:c>
      <x:c r="H3" s="18" t="n">
        <x:f>SUMPRODUCT(MAX(('Confirmed_Records'!$F$2:$F$153=B3)*'Confirmed_Records'!$C$2:$C$153))</x:f>
        <x:v>0.011</x:v>
      </x:c>
      <x:c r="I3" s="22" t="str">
        <x:v>H. S. Harned &amp; C. L. Hildreth Jr., J. Am. Chem. Soc. 73, 650 (1951)</x:v>
      </x:c>
    </x:row>
    <x:row r="4" ht="15" hidden="0" customHeight="1">
      <x:c r="A4" s="16" t="str">
        <x:v>LiCl-H2O</x:v>
      </x:c>
      <x:c r="B4" s="16" t="str">
        <x:v>BIB:LICL:LOBO1993:REF_067</x:v>
      </x:c>
      <x:c r="C4" s="20" t="n">
        <x:v>67</x:v>
      </x:c>
      <x:c r="D4" s="20" t="n">
        <x:f>COUNTIF('Confirmed_Records'!$F$2:$F$153,B4)</x:f>
        <x:v>12</x:v>
      </x:c>
      <x:c r="E4" s="17" t="n">
        <x:f>SUMPRODUCT(MIN(('Confirmed_Records'!$F$2:$F$153&lt;&gt;B4)*1000000+'Confirmed_Records'!$B$2:$B$153))</x:f>
        <x:v>298.15</x:v>
      </x:c>
      <x:c r="F4" s="17" t="n">
        <x:f>SUMPRODUCT(MAX(('Confirmed_Records'!$F$2:$F$153=B4)*'Confirmed_Records'!$B$2:$B$153))</x:f>
        <x:v>298.15</x:v>
      </x:c>
      <x:c r="G4" s="18" t="n">
        <x:f>SUMPRODUCT(MIN(('Confirmed_Records'!$F$2:$F$153&lt;&gt;B4)*1000000+'Confirmed_Records'!$C$2:$C$153))</x:f>
        <x:v>0.0001</x:v>
      </x:c>
      <x:c r="H4" s="18" t="n">
        <x:f>SUMPRODUCT(MAX(('Confirmed_Records'!$F$2:$F$153=B4)*'Confirmed_Records'!$C$2:$C$153))</x:f>
        <x:v>3</x:v>
      </x:c>
      <x:c r="I4" s="22" t="str">
        <x:v>D. G. Miller, J. Phys. Chem. 70, 2639 (1966)</x:v>
      </x:c>
    </x:row>
    <x:row r="5" ht="15" hidden="0" customHeight="1">
      <x:c r="A5" s="16" t="str">
        <x:v>LiCl-H2O</x:v>
      </x:c>
      <x:c r="B5" s="16" t="str">
        <x:v>BIB:LICL:LOBO1993:REF_084</x:v>
      </x:c>
      <x:c r="C5" s="20" t="n">
        <x:v>84</x:v>
      </x:c>
      <x:c r="D5" s="20" t="n">
        <x:f>COUNTIF('Confirmed_Records'!$F$2:$F$153,B5)</x:f>
        <x:v>12</x:v>
      </x:c>
      <x:c r="E5" s="17" t="n">
        <x:f>SUMPRODUCT(MIN(('Confirmed_Records'!$F$2:$F$153&lt;&gt;B5)*1000000+'Confirmed_Records'!$B$2:$B$153))</x:f>
        <x:v>298.15</x:v>
      </x:c>
      <x:c r="F5" s="17" t="n">
        <x:f>SUMPRODUCT(MAX(('Confirmed_Records'!$F$2:$F$153=B5)*'Confirmed_Records'!$B$2:$B$153))</x:f>
        <x:v>298.15</x:v>
      </x:c>
      <x:c r="G5" s="18" t="n">
        <x:f>SUMPRODUCT(MIN(('Confirmed_Records'!$F$2:$F$153&lt;&gt;B5)*1000000+'Confirmed_Records'!$C$2:$C$153))</x:f>
        <x:v>0.05</x:v>
      </x:c>
      <x:c r="H5" s="18" t="n">
        <x:f>SUMPRODUCT(MAX(('Confirmed_Records'!$F$2:$F$153=B5)*'Confirmed_Records'!$C$2:$C$153))</x:f>
        <x:v>3.5</x:v>
      </x:c>
      <x:c r="I5" s="22" t="str">
        <x:v>R. H. Stokes, J. Am. Chem. Soc. 72, 2243 (1950)</x:v>
      </x:c>
    </x:row>
    <x:row r="6" ht="15" hidden="0" customHeight="1">
      <x:c r="A6" s="16" t="str">
        <x:v>LiCl-H2O</x:v>
      </x:c>
      <x:c r="B6" s="16" t="str">
        <x:v>BIB:LICL:LOBO1993:REF_086</x:v>
      </x:c>
      <x:c r="C6" s="20" t="n">
        <x:v>86</x:v>
      </x:c>
      <x:c r="D6" s="20" t="n">
        <x:f>COUNTIF('Confirmed_Records'!$F$2:$F$153,B6)</x:f>
        <x:v>3</x:v>
      </x:c>
      <x:c r="E6" s="17" t="n">
        <x:f>SUMPRODUCT(MIN(('Confirmed_Records'!$F$2:$F$153&lt;&gt;B6)*1000000+'Confirmed_Records'!$B$2:$B$153))</x:f>
        <x:v>298.15</x:v>
      </x:c>
      <x:c r="F6" s="17" t="n">
        <x:f>SUMPRODUCT(MAX(('Confirmed_Records'!$F$2:$F$153=B6)*'Confirmed_Records'!$B$2:$B$153))</x:f>
        <x:v>298.15</x:v>
      </x:c>
      <x:c r="G6" s="18" t="n">
        <x:f>SUMPRODUCT(MIN(('Confirmed_Records'!$F$2:$F$153&lt;&gt;B6)*1000000+'Confirmed_Records'!$C$2:$C$153))</x:f>
        <x:v>0.1</x:v>
      </x:c>
      <x:c r="H6" s="18" t="n">
        <x:f>SUMPRODUCT(MAX(('Confirmed_Records'!$F$2:$F$153=B6)*'Confirmed_Records'!$C$2:$C$153))</x:f>
        <x:v>1</x:v>
      </x:c>
      <x:c r="I6" s="22" t="str">
        <x:v>J. R. Vinograd &amp; J. W. McBain, J. Am. Chem. Soc. 63, 2008 (1941)</x:v>
      </x:c>
    </x:row>
    <x:row r="7" ht="15" hidden="0" customHeight="1">
      <x:c r="A7" s="16" t="str">
        <x:v>LiCl-H2O</x:v>
      </x:c>
      <x:c r="B7" s="16" t="str">
        <x:v>BIB:LICL:LOBO1993:REF_087</x:v>
      </x:c>
      <x:c r="C7" s="20" t="n">
        <x:v>87</x:v>
      </x:c>
      <x:c r="D7" s="20" t="n">
        <x:f>COUNTIF('Confirmed_Records'!$F$2:$F$153,B7)</x:f>
        <x:v>109</x:v>
      </x:c>
      <x:c r="E7" s="17" t="n">
        <x:f>SUMPRODUCT(MIN(('Confirmed_Records'!$F$2:$F$153&lt;&gt;B7)*1000000+'Confirmed_Records'!$B$2:$B$153))</x:f>
        <x:v>273.15</x:v>
      </x:c>
      <x:c r="F7" s="17" t="n">
        <x:f>SUMPRODUCT(MAX(('Confirmed_Records'!$F$2:$F$153=B7)*'Confirmed_Records'!$B$2:$B$153))</x:f>
        <x:v>323.15</x:v>
      </x:c>
      <x:c r="G7" s="18" t="n">
        <x:f>SUMPRODUCT(MIN(('Confirmed_Records'!$F$2:$F$153&lt;&gt;B7)*1000000+'Confirmed_Records'!$C$2:$C$153))</x:f>
        <x:v>0.1107</x:v>
      </x:c>
      <x:c r="H7" s="18" t="n">
        <x:f>SUMPRODUCT(MAX(('Confirmed_Records'!$F$2:$F$153=B7)*'Confirmed_Records'!$C$2:$C$153))</x:f>
        <x:v>8.1108</x:v>
      </x:c>
      <x:c r="I7" s="22" t="str">
        <x:v>V. Vitagliano, Gazz. Chim. Ital. 90, 876 (1960)</x:v>
      </x:c>
    </x:row>
  </x:sheetData>
  <x:conditionalFormatting sqref="A2:I7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50d177546b41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32.5" hidden="0" customWidth="1"/>
    <x:col min="7" max="7" width="32.5" hidden="0" customWidth="1"/>
    <x:col min="8" max="8" width="18" hidden="0" customWidth="1"/>
    <x:col min="9" max="9" width="13.75" hidden="0" customWidth="1"/>
    <x:col min="10" max="10" width="42.5" hidden="0" customWidth="1"/>
    <x:col min="11" max="11" width="42.5" hidden="0" customWidth="1"/>
    <x:col min="12" max="12" width="32.5" hidden="0" customWidth="1"/>
    <x:col min="13" max="13" width="18" hidden="0" customWidth="1"/>
    <x:col min="14" max="14" width="32.5" hidden="0" customWidth="1"/>
    <x:col min="15" max="15" width="42.5" hidden="0" customWidth="1"/>
    <x:col min="16" max="16" width="32.5" hidden="0" customWidth="1"/>
    <x:col min="17" max="17" width="32.5" hidden="0" customWidth="1"/>
    <x:col min="18" max="18" width="32.5" hidden="0" customWidth="1"/>
    <x:col min="19" max="19" width="32.5" hidden="0" customWidth="1"/>
    <x:col min="20" max="20" width="13.75" hidden="0" customWidth="1"/>
    <x:col min="21" max="21" width="25.8799991607666" hidden="0" customWidth="1"/>
    <x:col min="22" max="22" width="42.5" hidden="0" customWidth="1"/>
  </x:cols>
  <x:sheetData>
    <x:row r="1" ht="28.5" customHeight="1">
      <x:c r="A1" s="12" t="str">
        <x:v>record_id</x:v>
      </x:c>
      <x:c r="B1" s="13" t="str">
        <x:v>system</x:v>
      </x:c>
      <x:c r="C1" s="13" t="str">
        <x:v>temperature_K</x:v>
      </x:c>
      <x:c r="D1" s="13" t="str">
        <x:v>concentration_mol_L</x:v>
      </x:c>
      <x:c r="E1" s="13" t="str">
        <x:v>diffusion_1e9_m2_s</x:v>
      </x:c>
      <x:c r="F1" s="13" t="str">
        <x:v>origin_lineage_id</x:v>
      </x:c>
      <x:c r="G1" s="13" t="str">
        <x:v>record_provenance_id</x:v>
      </x:c>
      <x:c r="H1" s="13" t="str">
        <x:v>lineage_type</x:v>
      </x:c>
      <x:c r="I1" s="13" t="str">
        <x:v>lobo_ref_no</x:v>
      </x:c>
      <x:c r="J1" s="13" t="str">
        <x:v>underlying_reference</x:v>
      </x:c>
      <x:c r="K1" s="13" t="str">
        <x:v>record_source_reference</x:v>
      </x:c>
      <x:c r="L1" s="13" t="str">
        <x:v>original_source_description</x:v>
      </x:c>
      <x:c r="M1" s="13" t="str">
        <x:v>recorded_doi</x:v>
      </x:c>
      <x:c r="N1" s="13" t="str">
        <x:v>audited_source_file</x:v>
      </x:c>
      <x:c r="O1" s="13" t="str">
        <x:v>source_locator</x:v>
      </x:c>
      <x:c r="P1" s="13" t="str">
        <x:v>verification_level</x:v>
      </x:c>
      <x:c r="Q1" s="13" t="str">
        <x:v>primary_model_status</x:v>
      </x:c>
      <x:c r="R1" s="13" t="str">
        <x:v>evaluation_role</x:v>
      </x:c>
      <x:c r="S1" s="13" t="str">
        <x:v>condition_group_id</x:v>
      </x:c>
      <x:c r="T1" s="13" t="str">
        <x:v>same_condition_record_count</x:v>
      </x:c>
      <x:c r="U1" s="13" t="str">
        <x:v>same_condition_flag</x:v>
      </x:c>
      <x:c r="V1" s="14" t="str">
        <x:v>lineage_note</x:v>
      </x:c>
    </x:row>
    <x:row r="2" ht="39.599998474121094" hidden="0" customHeight="1">
      <x:c r="A2" s="16" t="str">
        <x:v>F40374</x:v>
      </x:c>
      <x:c r="B2" s="16" t="str">
        <x:v>LiCl-H2O</x:v>
      </x:c>
      <x:c r="C2" s="17" t="n">
        <x:v>298.15</x:v>
      </x:c>
      <x:c r="D2" s="18" t="n">
        <x:v>4</x:v>
      </x:c>
      <x:c r="E2" s="19" t="n">
        <x:v>1.466</x:v>
      </x:c>
      <x:c r="F2" s="16" t="str">
        <x:v>BIB:LICL:LOBO1993:REF_006</x:v>
      </x:c>
      <x:c r="G2" s="16" t="str">
        <x:v>BIB:LICL:LOBO1993:REF_006</x:v>
      </x:c>
      <x:c r="H2" s="16" t="str">
        <x:v>bibliographic_original_study_via_compilation</x:v>
      </x:c>
      <x:c r="I2" s="16" t="str">
        <x:v>006</x:v>
      </x:c>
      <x:c r="J2" s="22" t="str">
        <x:v>P. C. Carman, J. Phys. Chem. 73, 1095 (1969)</x:v>
      </x:c>
      <x:c r="K2" s="22"/>
      <x:c r="L2" s="22" t="str">
        <x:v>lobo_1993 | V. M. M. Lobo (1993) | Pure and Applied Chemistry Table 1, ref. 6, PDF p. 14; directly tabulated value</x:v>
      </x:c>
      <x:c r="M2" s="16" t="str">
        <x:v>10.1351/pac199365122613</x:v>
      </x:c>
      <x:c r="N2" s="16" t="str">
        <x:v>data_source/lobo_1993.pdf</x:v>
      </x:c>
      <x:c r="O2" s="22" t="str">
        <x:v>Lobo 1993 Table 1, PDF p.14; bibliography ref.6, PDF p.25</x:v>
      </x:c>
      <x:c r="P2" s="22" t="str">
        <x:v>compilation_table_verified_original_paper_not_archived</x:v>
      </x:c>
      <x:c r="Q2" s="22" t="str">
        <x:v>conditional_exploratory_pending_original_paper_audit</x:v>
      </x:c>
      <x:c r="R2" s="16" t="str">
        <x:v>retrospective_grouped_cv_pool</x:v>
      </x:c>
      <x:c r="S2" s="16" t="str">
        <x:v>COND:298.15K:4.00000000M</x:v>
      </x:c>
      <x:c r="T2" s="20" t="n">
        <x:v>1</x:v>
      </x:c>
      <x:c r="U2" s="16" t="str">
        <x:v>unique_state</x:v>
      </x:c>
      <x:c r="V2" s="22" t="str">
        <x:v>Grouped by the original bibliographic reference cited by Lobo.</x:v>
      </x:c>
    </x:row>
    <x:row r="3" ht="39.599998474121094" hidden="0" customHeight="1">
      <x:c r="A3" s="16" t="str">
        <x:v>F20000</x:v>
      </x:c>
      <x:c r="B3" s="16" t="str">
        <x:v>LiCl-H2O</x:v>
      </x:c>
      <x:c r="C3" s="17" t="n">
        <x:v>298.15</x:v>
      </x:c>
      <x:c r="D3" s="18" t="n">
        <x:v>0</x:v>
      </x:c>
      <x:c r="E3" s="19" t="n">
        <x:v>1.3666</x:v>
      </x:c>
      <x:c r="F3" s="16" t="str">
        <x:v>BIB:LICL:LOBO1993:REF_029</x:v>
      </x:c>
      <x:c r="G3" s="16" t="str">
        <x:v>DER:LICL:HARNED1955:LIMITING_CONDUCTANCE</x:v>
      </x:c>
      <x:c r="H3" s="16" t="str">
        <x:v>derived_limiting_diffusion_value</x:v>
      </x:c>
      <x:c r="I3" s="16"/>
      <x:c r="J3" s="22" t="str">
        <x:v>H. S. Harned &amp; C. L. Hildreth Jr., J. Am. Chem. Soc. 73, 650 (1951)</x:v>
      </x:c>
      <x:c r="K3" s="22" t="str">
        <x:v>H. S. Harned, Diffusion Coefficients of Electrolytes in Dilute Aqueous Solution (1955)</x:v>
      </x:c>
      <x:c r="L3" s="22" t="str">
        <x:v>harned_1955_osti | H. S. Harned (1955) | U.S. Atomic Energy Commission / OSTI report</x:v>
      </x:c>
      <x:c r="M3" s="16" t="str">
        <x:v>10.2172/4375031</x:v>
      </x:c>
      <x:c r="N3" s="16" t="str">
        <x:v>data_source/harned_1955_osti.pdf</x:v>
      </x:c>
      <x:c r="O3" s="22" t="str">
        <x:v>PDF p.9 / internal p.7, Table I</x:v>
      </x:c>
      <x:c r="P3" s="22" t="str">
        <x:v>local_report_verified_formula_or_smoothed_value</x:v>
      </x:c>
      <x:c r="Q3" s="22" t="str">
        <x:v>exclude_from_primary_model_sensitivity_only</x:v>
      </x:c>
      <x:c r="R3" s="16" t="str">
        <x:v>retrospective_grouped_cv_pool</x:v>
      </x:c>
      <x:c r="S3" s="16" t="str">
        <x:v>COND:298.15K:0.00000000M</x:v>
      </x:c>
      <x:c r="T3" s="20" t="n">
        <x:v>1</x:v>
      </x:c>
      <x:c r="U3" s="16" t="str">
        <x:v>unique_state</x:v>
      </x:c>
      <x:c r="V3" s="22" t="str">
        <x:v>c=0 limiting value calculated from limiting conductance; report cites Harned–Hildreth 1951 for LiCl experiments.</x:v>
      </x:c>
    </x:row>
    <x:row r="4" ht="39.599998474121094" hidden="0" customHeight="1">
      <x:c r="A4" s="16" t="str">
        <x:v>F40324</x:v>
      </x:c>
      <x:c r="B4" s="16" t="str">
        <x:v>LiCl-H2O</x:v>
      </x:c>
      <x:c r="C4" s="17" t="n">
        <x:v>298.15</x:v>
      </x:c>
      <x:c r="D4" s="18" t="n">
        <x:v>0.0006</x:v>
      </x:c>
      <x:c r="E4" s="19" t="n">
        <x:v>1.348</x:v>
      </x:c>
      <x:c r="F4" s="16" t="str">
        <x:v>BIB:LICL:LOBO1993:REF_029</x:v>
      </x:c>
      <x:c r="G4" s="16" t="str">
        <x:v>BIB:LICL:LOBO1993:REF_029</x:v>
      </x:c>
      <x:c r="H4" s="16" t="str">
        <x:v>bibliographic_original_study_via_compilation</x:v>
      </x:c>
      <x:c r="I4" s="16" t="str">
        <x:v>029</x:v>
      </x:c>
      <x:c r="J4" s="22" t="str">
        <x:v>H. S. Harned &amp; C. L. Hildreth Jr., J. Am. Chem. Soc. 73, 650 (1951)</x:v>
      </x:c>
      <x:c r="K4" s="22"/>
      <x:c r="L4" s="22" t="str">
        <x:v>lobo_1993 | V. M. M. Lobo (1993) | Pure and Applied Chemistry Table 1, ref. 29, PDF p. 14; directly tabulated value</x:v>
      </x:c>
      <x:c r="M4" s="16" t="str">
        <x:v>10.1351/pac199365122613</x:v>
      </x:c>
      <x:c r="N4" s="16" t="str">
        <x:v>data_source/lobo_1993.pdf</x:v>
      </x:c>
      <x:c r="O4" s="22" t="str">
        <x:v>Lobo 1993 Table 1, PDF p.14; bibliography ref.29, PDF p.25</x:v>
      </x:c>
      <x:c r="P4" s="22" t="str">
        <x:v>compilation_table_verified_original_paper_not_archived</x:v>
      </x:c>
      <x:c r="Q4" s="22" t="str">
        <x:v>conditional_exploratory_pending_original_paper_audit</x:v>
      </x:c>
      <x:c r="R4" s="16" t="str">
        <x:v>retrospective_grouped_cv_pool</x:v>
      </x:c>
      <x:c r="S4" s="16" t="str">
        <x:v>COND:298.15K:0.00060000M</x:v>
      </x:c>
      <x:c r="T4" s="20" t="n">
        <x:v>1</x:v>
      </x:c>
      <x:c r="U4" s="16" t="str">
        <x:v>unique_state</x:v>
      </x:c>
      <x:c r="V4" s="22" t="str">
        <x:v>Grouped by the original bibliographic reference cited by Lobo.</x:v>
      </x:c>
    </x:row>
    <x:row r="5" ht="39.599998474121094" hidden="0" customHeight="1">
      <x:c r="A5" s="16" t="str">
        <x:v>F40325</x:v>
      </x:c>
      <x:c r="B5" s="16" t="str">
        <x:v>LiCl-H2O</x:v>
      </x:c>
      <x:c r="C5" s="17" t="n">
        <x:v>298.15</x:v>
      </x:c>
      <x:c r="D5" s="18" t="n">
        <x:v>0.0017</x:v>
      </x:c>
      <x:c r="E5" s="19" t="n">
        <x:v>1.331</x:v>
      </x:c>
      <x:c r="F5" s="16" t="str">
        <x:v>BIB:LICL:LOBO1993:REF_029</x:v>
      </x:c>
      <x:c r="G5" s="16" t="str">
        <x:v>BIB:LICL:LOBO1993:REF_029</x:v>
      </x:c>
      <x:c r="H5" s="16" t="str">
        <x:v>bibliographic_original_study_via_compilation</x:v>
      </x:c>
      <x:c r="I5" s="16" t="str">
        <x:v>029</x:v>
      </x:c>
      <x:c r="J5" s="22" t="str">
        <x:v>H. S. Harned &amp; C. L. Hildreth Jr., J. Am. Chem. Soc. 73, 650 (1951)</x:v>
      </x:c>
      <x:c r="K5" s="22"/>
      <x:c r="L5" s="22" t="str">
        <x:v>lobo_1993 | V. M. M. Lobo (1993) | Pure and Applied Chemistry Table 1, ref. 29, PDF p. 14; directly tabulated value</x:v>
      </x:c>
      <x:c r="M5" s="16" t="str">
        <x:v>10.1351/pac199365122613</x:v>
      </x:c>
      <x:c r="N5" s="16" t="str">
        <x:v>data_source/lobo_1993.pdf</x:v>
      </x:c>
      <x:c r="O5" s="22" t="str">
        <x:v>Lobo 1993 Table 1, PDF p.14; bibliography ref.29, PDF p.25</x:v>
      </x:c>
      <x:c r="P5" s="22" t="str">
        <x:v>compilation_table_verified_original_paper_not_archived</x:v>
      </x:c>
      <x:c r="Q5" s="22" t="str">
        <x:v>conditional_exploratory_pending_original_paper_audit</x:v>
      </x:c>
      <x:c r="R5" s="16" t="str">
        <x:v>retrospective_grouped_cv_pool</x:v>
      </x:c>
      <x:c r="S5" s="16" t="str">
        <x:v>COND:298.15K:0.00170000M</x:v>
      </x:c>
      <x:c r="T5" s="20" t="n">
        <x:v>1</x:v>
      </x:c>
      <x:c r="U5" s="16" t="str">
        <x:v>unique_state</x:v>
      </x:c>
      <x:c r="V5" s="22" t="str">
        <x:v>Grouped by the original bibliographic reference cited by Lobo.</x:v>
      </x:c>
    </x:row>
    <x:row r="6" ht="39.599998474121094" hidden="0" customHeight="1">
      <x:c r="A6" s="16" t="str">
        <x:v>F40326</x:v>
      </x:c>
      <x:c r="B6" s="16" t="str">
        <x:v>LiCl-H2O</x:v>
      </x:c>
      <x:c r="C6" s="17" t="n">
        <x:v>298.15</x:v>
      </x:c>
      <x:c r="D6" s="18" t="n">
        <x:v>0.0022</x:v>
      </x:c>
      <x:c r="E6" s="19" t="n">
        <x:v>1.335</x:v>
      </x:c>
      <x:c r="F6" s="16" t="str">
        <x:v>BIB:LICL:LOBO1993:REF_029</x:v>
      </x:c>
      <x:c r="G6" s="16" t="str">
        <x:v>BIB:LICL:LOBO1993:REF_029</x:v>
      </x:c>
      <x:c r="H6" s="16" t="str">
        <x:v>bibliographic_original_study_via_compilation</x:v>
      </x:c>
      <x:c r="I6" s="16" t="str">
        <x:v>029</x:v>
      </x:c>
      <x:c r="J6" s="22" t="str">
        <x:v>H. S. Harned &amp; C. L. Hildreth Jr., J. Am. Chem. Soc. 73, 650 (1951)</x:v>
      </x:c>
      <x:c r="K6" s="22"/>
      <x:c r="L6" s="22" t="str">
        <x:v>lobo_1993 | V. M. M. Lobo (1993) | Pure and Applied Chemistry Table 1, ref. 29, PDF p. 14; directly tabulated value</x:v>
      </x:c>
      <x:c r="M6" s="16" t="str">
        <x:v>10.1351/pac199365122613</x:v>
      </x:c>
      <x:c r="N6" s="16" t="str">
        <x:v>data_source/lobo_1993.pdf</x:v>
      </x:c>
      <x:c r="O6" s="22" t="str">
        <x:v>Lobo 1993 Table 1, PDF p.14; bibliography ref.29, PDF p.25</x:v>
      </x:c>
      <x:c r="P6" s="22" t="str">
        <x:v>compilation_table_verified_original_paper_not_archived</x:v>
      </x:c>
      <x:c r="Q6" s="22" t="str">
        <x:v>conditional_exploratory_pending_original_paper_audit</x:v>
      </x:c>
      <x:c r="R6" s="16" t="str">
        <x:v>retrospective_grouped_cv_pool</x:v>
      </x:c>
      <x:c r="S6" s="16" t="str">
        <x:v>COND:298.15K:0.00220000M</x:v>
      </x:c>
      <x:c r="T6" s="20" t="n">
        <x:v>1</x:v>
      </x:c>
      <x:c r="U6" s="16" t="str">
        <x:v>unique_state</x:v>
      </x:c>
      <x:c r="V6" s="22" t="str">
        <x:v>Grouped by the original bibliographic reference cited by Lobo.</x:v>
      </x:c>
    </x:row>
    <x:row r="7" ht="39.599998474121094" hidden="0" customHeight="1">
      <x:c r="A7" s="16" t="str">
        <x:v>F40327</x:v>
      </x:c>
      <x:c r="B7" s="16" t="str">
        <x:v>LiCl-H2O</x:v>
      </x:c>
      <x:c r="C7" s="17" t="n">
        <x:v>298.15</x:v>
      </x:c>
      <x:c r="D7" s="18" t="n">
        <x:v>0.0023</x:v>
      </x:c>
      <x:c r="E7" s="19" t="n">
        <x:v>1.335</x:v>
      </x:c>
      <x:c r="F7" s="16" t="str">
        <x:v>BIB:LICL:LOBO1993:REF_029</x:v>
      </x:c>
      <x:c r="G7" s="16" t="str">
        <x:v>BIB:LICL:LOBO1993:REF_029</x:v>
      </x:c>
      <x:c r="H7" s="16" t="str">
        <x:v>bibliographic_original_study_via_compilation</x:v>
      </x:c>
      <x:c r="I7" s="16" t="str">
        <x:v>029</x:v>
      </x:c>
      <x:c r="J7" s="22" t="str">
        <x:v>H. S. Harned &amp; C. L. Hildreth Jr., J. Am. Chem. Soc. 73, 650 (1951)</x:v>
      </x:c>
      <x:c r="K7" s="22"/>
      <x:c r="L7" s="22" t="str">
        <x:v>lobo_1993 | V. M. M. Lobo (1993) | Pure and Applied Chemistry Table 1, ref. 29, PDF p. 14; directly tabulated value</x:v>
      </x:c>
      <x:c r="M7" s="16" t="str">
        <x:v>10.1351/pac199365122613</x:v>
      </x:c>
      <x:c r="N7" s="16" t="str">
        <x:v>data_source/lobo_1993.pdf</x:v>
      </x:c>
      <x:c r="O7" s="22" t="str">
        <x:v>Lobo 1993 Table 1, PDF p.14; bibliography ref.29, PDF p.25</x:v>
      </x:c>
      <x:c r="P7" s="22" t="str">
        <x:v>compilation_table_verified_original_paper_not_archived</x:v>
      </x:c>
      <x:c r="Q7" s="22" t="str">
        <x:v>conditional_exploratory_pending_original_paper_audit</x:v>
      </x:c>
      <x:c r="R7" s="16" t="str">
        <x:v>retrospective_grouped_cv_pool</x:v>
      </x:c>
      <x:c r="S7" s="16" t="str">
        <x:v>COND:298.15K:0.00230000M</x:v>
      </x:c>
      <x:c r="T7" s="20" t="n">
        <x:v>1</x:v>
      </x:c>
      <x:c r="U7" s="16" t="str">
        <x:v>unique_state</x:v>
      </x:c>
      <x:c r="V7" s="22" t="str">
        <x:v>Grouped by the original bibliographic reference cited by Lobo.</x:v>
      </x:c>
    </x:row>
    <x:row r="8" ht="39.599998474121094" hidden="0" customHeight="1">
      <x:c r="A8" s="16" t="str">
        <x:v>F40328</x:v>
      </x:c>
      <x:c r="B8" s="16" t="str">
        <x:v>LiCl-H2O</x:v>
      </x:c>
      <x:c r="C8" s="17" t="n">
        <x:v>298.15</x:v>
      </x:c>
      <x:c r="D8" s="18" t="n">
        <x:v>0.0026</x:v>
      </x:c>
      <x:c r="E8" s="19" t="n">
        <x:v>1.334</x:v>
      </x:c>
      <x:c r="F8" s="16" t="str">
        <x:v>BIB:LICL:LOBO1993:REF_029</x:v>
      </x:c>
      <x:c r="G8" s="16" t="str">
        <x:v>BIB:LICL:LOBO1993:REF_029</x:v>
      </x:c>
      <x:c r="H8" s="16" t="str">
        <x:v>bibliographic_original_study_via_compilation</x:v>
      </x:c>
      <x:c r="I8" s="16" t="str">
        <x:v>029</x:v>
      </x:c>
      <x:c r="J8" s="22" t="str">
        <x:v>H. S. Harned &amp; C. L. Hildreth Jr., J. Am. Chem. Soc. 73, 650 (1951)</x:v>
      </x:c>
      <x:c r="K8" s="22"/>
      <x:c r="L8" s="22" t="str">
        <x:v>lobo_1993 | V. M. M. Lobo (1993) | Pure and Applied Chemistry Table 1, ref. 29, PDF p. 14; directly tabulated value</x:v>
      </x:c>
      <x:c r="M8" s="16" t="str">
        <x:v>10.1351/pac199365122613</x:v>
      </x:c>
      <x:c r="N8" s="16" t="str">
        <x:v>data_source/lobo_1993.pdf</x:v>
      </x:c>
      <x:c r="O8" s="22" t="str">
        <x:v>Lobo 1993 Table 1, PDF p.14; bibliography ref.29, PDF p.25</x:v>
      </x:c>
      <x:c r="P8" s="22" t="str">
        <x:v>compilation_table_verified_original_paper_not_archived</x:v>
      </x:c>
      <x:c r="Q8" s="22" t="str">
        <x:v>conditional_exploratory_pending_original_paper_audit</x:v>
      </x:c>
      <x:c r="R8" s="16" t="str">
        <x:v>retrospective_grouped_cv_pool</x:v>
      </x:c>
      <x:c r="S8" s="16" t="str">
        <x:v>COND:298.15K:0.00260000M</x:v>
      </x:c>
      <x:c r="T8" s="20" t="n">
        <x:v>1</x:v>
      </x:c>
      <x:c r="U8" s="16" t="str">
        <x:v>unique_state</x:v>
      </x:c>
      <x:c r="V8" s="22" t="str">
        <x:v>Grouped by the original bibliographic reference cited by Lobo.</x:v>
      </x:c>
    </x:row>
    <x:row r="9" ht="39.599998474121094" hidden="0" customHeight="1">
      <x:c r="A9" s="16" t="str">
        <x:v>F40329</x:v>
      </x:c>
      <x:c r="B9" s="16" t="str">
        <x:v>LiCl-H2O</x:v>
      </x:c>
      <x:c r="C9" s="17" t="n">
        <x:v>298.15</x:v>
      </x:c>
      <x:c r="D9" s="18" t="n">
        <x:v>0.003</x:v>
      </x:c>
      <x:c r="E9" s="19" t="n">
        <x:v>1.331</x:v>
      </x:c>
      <x:c r="F9" s="16" t="str">
        <x:v>BIB:LICL:LOBO1993:REF_029</x:v>
      </x:c>
      <x:c r="G9" s="16" t="str">
        <x:v>BIB:LICL:LOBO1993:REF_029</x:v>
      </x:c>
      <x:c r="H9" s="16" t="str">
        <x:v>bibliographic_original_study_via_compilation</x:v>
      </x:c>
      <x:c r="I9" s="16" t="str">
        <x:v>029</x:v>
      </x:c>
      <x:c r="J9" s="22" t="str">
        <x:v>H. S. Harned &amp; C. L. Hildreth Jr., J. Am. Chem. Soc. 73, 650 (1951)</x:v>
      </x:c>
      <x:c r="K9" s="22"/>
      <x:c r="L9" s="22" t="str">
        <x:v>lobo_1993 | V. M. M. Lobo (1993) | Pure and Applied Chemistry Table 1, ref. 29, PDF p. 14; directly tabulated value</x:v>
      </x:c>
      <x:c r="M9" s="16" t="str">
        <x:v>10.1351/pac199365122613</x:v>
      </x:c>
      <x:c r="N9" s="16" t="str">
        <x:v>data_source/lobo_1993.pdf</x:v>
      </x:c>
      <x:c r="O9" s="22" t="str">
        <x:v>Lobo 1993 Table 1, PDF p.14; bibliography ref.29, PDF p.25</x:v>
      </x:c>
      <x:c r="P9" s="22" t="str">
        <x:v>compilation_table_verified_original_paper_not_archived</x:v>
      </x:c>
      <x:c r="Q9" s="22" t="str">
        <x:v>conditional_exploratory_pending_original_paper_audit</x:v>
      </x:c>
      <x:c r="R9" s="16" t="str">
        <x:v>retrospective_grouped_cv_pool</x:v>
      </x:c>
      <x:c r="S9" s="16" t="str">
        <x:v>COND:298.15K:0.00300000M</x:v>
      </x:c>
      <x:c r="T9" s="20" t="n">
        <x:v>1</x:v>
      </x:c>
      <x:c r="U9" s="16" t="str">
        <x:v>unique_state</x:v>
      </x:c>
      <x:c r="V9" s="22" t="str">
        <x:v>Grouped by the original bibliographic reference cited by Lobo.</x:v>
      </x:c>
    </x:row>
    <x:row r="10" ht="39.599998474121094" hidden="0" customHeight="1">
      <x:c r="A10" s="16" t="str">
        <x:v>F40330</x:v>
      </x:c>
      <x:c r="B10" s="16" t="str">
        <x:v>LiCl-H2O</x:v>
      </x:c>
      <x:c r="C10" s="17" t="n">
        <x:v>298.15</x:v>
      </x:c>
      <x:c r="D10" s="18" t="n">
        <x:v>0.0033</x:v>
      </x:c>
      <x:c r="E10" s="19" t="n">
        <x:v>1.327</x:v>
      </x:c>
      <x:c r="F10" s="16" t="str">
        <x:v>BIB:LICL:LOBO1993:REF_029</x:v>
      </x:c>
      <x:c r="G10" s="16" t="str">
        <x:v>BIB:LICL:LOBO1993:REF_029</x:v>
      </x:c>
      <x:c r="H10" s="16" t="str">
        <x:v>bibliographic_original_study_via_compilation</x:v>
      </x:c>
      <x:c r="I10" s="16" t="str">
        <x:v>029</x:v>
      </x:c>
      <x:c r="J10" s="22" t="str">
        <x:v>H. S. Harned &amp; C. L. Hildreth Jr., J. Am. Chem. Soc. 73, 650 (1951)</x:v>
      </x:c>
      <x:c r="K10" s="22"/>
      <x:c r="L10" s="22" t="str">
        <x:v>lobo_1993 | V. M. M. Lobo (1993) | Pure and Applied Chemistry Table 1, ref. 29, PDF p. 14; directly tabulated value</x:v>
      </x:c>
      <x:c r="M10" s="16" t="str">
        <x:v>10.1351/pac199365122613</x:v>
      </x:c>
      <x:c r="N10" s="16" t="str">
        <x:v>data_source/lobo_1993.pdf</x:v>
      </x:c>
      <x:c r="O10" s="22" t="str">
        <x:v>Lobo 1993 Table 1, PDF p.14; bibliography ref.29, PDF p.25</x:v>
      </x:c>
      <x:c r="P10" s="22" t="str">
        <x:v>compilation_table_verified_original_paper_not_archived</x:v>
      </x:c>
      <x:c r="Q10" s="22" t="str">
        <x:v>conditional_exploratory_pending_original_paper_audit</x:v>
      </x:c>
      <x:c r="R10" s="16" t="str">
        <x:v>retrospective_grouped_cv_pool</x:v>
      </x:c>
      <x:c r="S10" s="16" t="str">
        <x:v>COND:298.15K:0.00330000M</x:v>
      </x:c>
      <x:c r="T10" s="20" t="n">
        <x:v>1</x:v>
      </x:c>
      <x:c r="U10" s="16" t="str">
        <x:v>unique_state</x:v>
      </x:c>
      <x:c r="V10" s="22" t="str">
        <x:v>Grouped by the original bibliographic reference cited by Lobo.</x:v>
      </x:c>
    </x:row>
    <x:row r="11" ht="39.599998474121094" hidden="0" customHeight="1">
      <x:c r="A11" s="16" t="str">
        <x:v>F40331</x:v>
      </x:c>
      <x:c r="B11" s="16" t="str">
        <x:v>LiCl-H2O</x:v>
      </x:c>
      <x:c r="C11" s="17" t="n">
        <x:v>298.15</x:v>
      </x:c>
      <x:c r="D11" s="18" t="n">
        <x:v>0.0049</x:v>
      </x:c>
      <x:c r="E11" s="19" t="n">
        <x:v>1.326</x:v>
      </x:c>
      <x:c r="F11" s="16" t="str">
        <x:v>BIB:LICL:LOBO1993:REF_029</x:v>
      </x:c>
      <x:c r="G11" s="16" t="str">
        <x:v>BIB:LICL:LOBO1993:REF_029</x:v>
      </x:c>
      <x:c r="H11" s="16" t="str">
        <x:v>bibliographic_original_study_via_compilation</x:v>
      </x:c>
      <x:c r="I11" s="16" t="str">
        <x:v>029</x:v>
      </x:c>
      <x:c r="J11" s="22" t="str">
        <x:v>H. S. Harned &amp; C. L. Hildreth Jr., J. Am. Chem. Soc. 73, 650 (1951)</x:v>
      </x:c>
      <x:c r="K11" s="22"/>
      <x:c r="L11" s="22" t="str">
        <x:v>lobo_1993 | V. M. M. Lobo (1993) | Pure and Applied Chemistry Table 1, ref. 29, PDF p. 14; directly tabulated value</x:v>
      </x:c>
      <x:c r="M11" s="16" t="str">
        <x:v>10.1351/pac199365122613</x:v>
      </x:c>
      <x:c r="N11" s="16" t="str">
        <x:v>data_source/lobo_1993.pdf</x:v>
      </x:c>
      <x:c r="O11" s="22" t="str">
        <x:v>Lobo 1993 Table 1, PDF p.14; bibliography ref.29, PDF p.25</x:v>
      </x:c>
      <x:c r="P11" s="22" t="str">
        <x:v>compilation_table_verified_original_paper_not_archived</x:v>
      </x:c>
      <x:c r="Q11" s="22" t="str">
        <x:v>conditional_exploratory_pending_original_paper_audit</x:v>
      </x:c>
      <x:c r="R11" s="16" t="str">
        <x:v>retrospective_grouped_cv_pool</x:v>
      </x:c>
      <x:c r="S11" s="16" t="str">
        <x:v>COND:298.15K:0.00490000M</x:v>
      </x:c>
      <x:c r="T11" s="20" t="n">
        <x:v>1</x:v>
      </x:c>
      <x:c r="U11" s="16" t="str">
        <x:v>unique_state</x:v>
      </x:c>
      <x:c r="V11" s="22" t="str">
        <x:v>Grouped by the original bibliographic reference cited by Lobo.</x:v>
      </x:c>
    </x:row>
    <x:row r="12" ht="39.599998474121094" hidden="0" customHeight="1">
      <x:c r="A12" s="16" t="str">
        <x:v>F40332</x:v>
      </x:c>
      <x:c r="B12" s="16" t="str">
        <x:v>LiCl-H2O</x:v>
      </x:c>
      <x:c r="C12" s="17" t="n">
        <x:v>298.15</x:v>
      </x:c>
      <x:c r="D12" s="18" t="n">
        <x:v>0.0056</x:v>
      </x:c>
      <x:c r="E12" s="19" t="n">
        <x:v>1.319</x:v>
      </x:c>
      <x:c r="F12" s="16" t="str">
        <x:v>BIB:LICL:LOBO1993:REF_029</x:v>
      </x:c>
      <x:c r="G12" s="16" t="str">
        <x:v>BIB:LICL:LOBO1993:REF_029</x:v>
      </x:c>
      <x:c r="H12" s="16" t="str">
        <x:v>bibliographic_original_study_via_compilation</x:v>
      </x:c>
      <x:c r="I12" s="16" t="str">
        <x:v>029</x:v>
      </x:c>
      <x:c r="J12" s="22" t="str">
        <x:v>H. S. Harned &amp; C. L. Hildreth Jr., J. Am. Chem. Soc. 73, 650 (1951)</x:v>
      </x:c>
      <x:c r="K12" s="22"/>
      <x:c r="L12" s="22" t="str">
        <x:v>lobo_1993 | V. M. M. Lobo (1993) | Pure and Applied Chemistry Table 1, ref. 29, PDF p. 14; directly tabulated value</x:v>
      </x:c>
      <x:c r="M12" s="16" t="str">
        <x:v>10.1351/pac199365122613</x:v>
      </x:c>
      <x:c r="N12" s="16" t="str">
        <x:v>data_source/lobo_1993.pdf</x:v>
      </x:c>
      <x:c r="O12" s="22" t="str">
        <x:v>Lobo 1993 Table 1, PDF p.14; bibliography ref.29, PDF p.25</x:v>
      </x:c>
      <x:c r="P12" s="22" t="str">
        <x:v>compilation_table_verified_original_paper_not_archived</x:v>
      </x:c>
      <x:c r="Q12" s="22" t="str">
        <x:v>conditional_exploratory_pending_original_paper_audit</x:v>
      </x:c>
      <x:c r="R12" s="16" t="str">
        <x:v>retrospective_grouped_cv_pool</x:v>
      </x:c>
      <x:c r="S12" s="16" t="str">
        <x:v>COND:298.15K:0.00560000M</x:v>
      </x:c>
      <x:c r="T12" s="20" t="n">
        <x:v>1</x:v>
      </x:c>
      <x:c r="U12" s="16" t="str">
        <x:v>unique_state</x:v>
      </x:c>
      <x:c r="V12" s="22" t="str">
        <x:v>Grouped by the original bibliographic reference cited by Lobo.</x:v>
      </x:c>
    </x:row>
    <x:row r="13" ht="39.599998474121094" hidden="0" customHeight="1">
      <x:c r="A13" s="16" t="str">
        <x:v>F40333</x:v>
      </x:c>
      <x:c r="B13" s="16" t="str">
        <x:v>LiCl-H2O</x:v>
      </x:c>
      <x:c r="C13" s="17" t="n">
        <x:v>298.15</x:v>
      </x:c>
      <x:c r="D13" s="18" t="n">
        <x:v>0.0073</x:v>
      </x:c>
      <x:c r="E13" s="19" t="n">
        <x:v>1.32</x:v>
      </x:c>
      <x:c r="F13" s="16" t="str">
        <x:v>BIB:LICL:LOBO1993:REF_029</x:v>
      </x:c>
      <x:c r="G13" s="16" t="str">
        <x:v>BIB:LICL:LOBO1993:REF_029</x:v>
      </x:c>
      <x:c r="H13" s="16" t="str">
        <x:v>bibliographic_original_study_via_compilation</x:v>
      </x:c>
      <x:c r="I13" s="16" t="str">
        <x:v>029</x:v>
      </x:c>
      <x:c r="J13" s="22" t="str">
        <x:v>H. S. Harned &amp; C. L. Hildreth Jr., J. Am. Chem. Soc. 73, 650 (1951)</x:v>
      </x:c>
      <x:c r="K13" s="22"/>
      <x:c r="L13" s="22" t="str">
        <x:v>lobo_1993 | V. M. M. Lobo (1993) | Pure and Applied Chemistry Table 1, ref. 29, PDF p. 14; directly tabulated value</x:v>
      </x:c>
      <x:c r="M13" s="16" t="str">
        <x:v>10.1351/pac199365122613</x:v>
      </x:c>
      <x:c r="N13" s="16" t="str">
        <x:v>data_source/lobo_1993.pdf</x:v>
      </x:c>
      <x:c r="O13" s="22" t="str">
        <x:v>Lobo 1993 Table 1, PDF p.14; bibliography ref.29, PDF p.25</x:v>
      </x:c>
      <x:c r="P13" s="22" t="str">
        <x:v>compilation_table_verified_original_paper_not_archived</x:v>
      </x:c>
      <x:c r="Q13" s="22" t="str">
        <x:v>conditional_exploratory_pending_original_paper_audit</x:v>
      </x:c>
      <x:c r="R13" s="16" t="str">
        <x:v>retrospective_grouped_cv_pool</x:v>
      </x:c>
      <x:c r="S13" s="16" t="str">
        <x:v>COND:298.15K:0.00730000M</x:v>
      </x:c>
      <x:c r="T13" s="20" t="n">
        <x:v>1</x:v>
      </x:c>
      <x:c r="U13" s="16" t="str">
        <x:v>unique_state</x:v>
      </x:c>
      <x:c r="V13" s="22" t="str">
        <x:v>Grouped by the original bibliographic reference cited by Lobo.</x:v>
      </x:c>
    </x:row>
    <x:row r="14" ht="39.599998474121094" hidden="0" customHeight="1">
      <x:c r="A14" s="16" t="str">
        <x:v>F40334</x:v>
      </x:c>
      <x:c r="B14" s="16" t="str">
        <x:v>LiCl-H2O</x:v>
      </x:c>
      <x:c r="C14" s="17" t="n">
        <x:v>298.15</x:v>
      </x:c>
      <x:c r="D14" s="18" t="n">
        <x:v>0.0079</x:v>
      </x:c>
      <x:c r="E14" s="19" t="n">
        <x:v>1.315</x:v>
      </x:c>
      <x:c r="F14" s="16" t="str">
        <x:v>BIB:LICL:LOBO1993:REF_029</x:v>
      </x:c>
      <x:c r="G14" s="16" t="str">
        <x:v>BIB:LICL:LOBO1993:REF_029</x:v>
      </x:c>
      <x:c r="H14" s="16" t="str">
        <x:v>bibliographic_original_study_via_compilation</x:v>
      </x:c>
      <x:c r="I14" s="16" t="str">
        <x:v>029</x:v>
      </x:c>
      <x:c r="J14" s="22" t="str">
        <x:v>H. S. Harned &amp; C. L. Hildreth Jr., J. Am. Chem. Soc. 73, 650 (1951)</x:v>
      </x:c>
      <x:c r="K14" s="22"/>
      <x:c r="L14" s="22" t="str">
        <x:v>lobo_1993 | V. M. M. Lobo (1993) | Pure and Applied Chemistry Table 1, ref. 29, PDF p. 14; directly tabulated value</x:v>
      </x:c>
      <x:c r="M14" s="16" t="str">
        <x:v>10.1351/pac199365122613</x:v>
      </x:c>
      <x:c r="N14" s="16" t="str">
        <x:v>data_source/lobo_1993.pdf</x:v>
      </x:c>
      <x:c r="O14" s="22" t="str">
        <x:v>Lobo 1993 Table 1, PDF p.14; bibliography ref.29, PDF p.25</x:v>
      </x:c>
      <x:c r="P14" s="22" t="str">
        <x:v>compilation_table_verified_original_paper_not_archived</x:v>
      </x:c>
      <x:c r="Q14" s="22" t="str">
        <x:v>conditional_exploratory_pending_original_paper_audit</x:v>
      </x:c>
      <x:c r="R14" s="16" t="str">
        <x:v>retrospective_grouped_cv_pool</x:v>
      </x:c>
      <x:c r="S14" s="16" t="str">
        <x:v>COND:298.15K:0.00790000M</x:v>
      </x:c>
      <x:c r="T14" s="20" t="n">
        <x:v>1</x:v>
      </x:c>
      <x:c r="U14" s="16" t="str">
        <x:v>unique_state</x:v>
      </x:c>
      <x:c r="V14" s="22" t="str">
        <x:v>Grouped by the original bibliographic reference cited by Lobo.</x:v>
      </x:c>
    </x:row>
    <x:row r="15" ht="39.599998474121094" hidden="0" customHeight="1">
      <x:c r="A15" s="16" t="str">
        <x:v>F40335</x:v>
      </x:c>
      <x:c r="B15" s="16" t="str">
        <x:v>LiCl-H2O</x:v>
      </x:c>
      <x:c r="C15" s="17" t="n">
        <x:v>298.15</x:v>
      </x:c>
      <x:c r="D15" s="18" t="n">
        <x:v>0.0083</x:v>
      </x:c>
      <x:c r="E15" s="19" t="n">
        <x:v>1.313</x:v>
      </x:c>
      <x:c r="F15" s="16" t="str">
        <x:v>BIB:LICL:LOBO1993:REF_029</x:v>
      </x:c>
      <x:c r="G15" s="16" t="str">
        <x:v>BIB:LICL:LOBO1993:REF_029</x:v>
      </x:c>
      <x:c r="H15" s="16" t="str">
        <x:v>bibliographic_original_study_via_compilation</x:v>
      </x:c>
      <x:c r="I15" s="16" t="str">
        <x:v>029</x:v>
      </x:c>
      <x:c r="J15" s="22" t="str">
        <x:v>H. S. Harned &amp; C. L. Hildreth Jr., J. Am. Chem. Soc. 73, 650 (1951)</x:v>
      </x:c>
      <x:c r="K15" s="22"/>
      <x:c r="L15" s="22" t="str">
        <x:v>lobo_1993 | V. M. M. Lobo (1993) | Pure and Applied Chemistry Table 1, ref. 29, PDF p. 14; directly tabulated value</x:v>
      </x:c>
      <x:c r="M15" s="16" t="str">
        <x:v>10.1351/pac199365122613</x:v>
      </x:c>
      <x:c r="N15" s="16" t="str">
        <x:v>data_source/lobo_1993.pdf</x:v>
      </x:c>
      <x:c r="O15" s="22" t="str">
        <x:v>Lobo 1993 Table 1, PDF p.14; bibliography ref.29, PDF p.25</x:v>
      </x:c>
      <x:c r="P15" s="22" t="str">
        <x:v>compilation_table_verified_original_paper_not_archived</x:v>
      </x:c>
      <x:c r="Q15" s="22" t="str">
        <x:v>conditional_exploratory_pending_original_paper_audit</x:v>
      </x:c>
      <x:c r="R15" s="16" t="str">
        <x:v>retrospective_grouped_cv_pool</x:v>
      </x:c>
      <x:c r="S15" s="16" t="str">
        <x:v>COND:298.15K:0.00830000M</x:v>
      </x:c>
      <x:c r="T15" s="20" t="n">
        <x:v>1</x:v>
      </x:c>
      <x:c r="U15" s="16" t="str">
        <x:v>unique_state</x:v>
      </x:c>
      <x:c r="V15" s="22" t="str">
        <x:v>Grouped by the original bibliographic reference cited by Lobo.</x:v>
      </x:c>
    </x:row>
    <x:row r="16" ht="39.599998474121094" hidden="0" customHeight="1">
      <x:c r="A16" s="16" t="str">
        <x:v>F40336</x:v>
      </x:c>
      <x:c r="B16" s="16" t="str">
        <x:v>LiCl-H2O</x:v>
      </x:c>
      <x:c r="C16" s="17" t="n">
        <x:v>298.15</x:v>
      </x:c>
      <x:c r="D16" s="18" t="n">
        <x:v>0.0093</x:v>
      </x:c>
      <x:c r="E16" s="19" t="n">
        <x:v>1.312</x:v>
      </x:c>
      <x:c r="F16" s="16" t="str">
        <x:v>BIB:LICL:LOBO1993:REF_029</x:v>
      </x:c>
      <x:c r="G16" s="16" t="str">
        <x:v>BIB:LICL:LOBO1993:REF_029</x:v>
      </x:c>
      <x:c r="H16" s="16" t="str">
        <x:v>bibliographic_original_study_via_compilation</x:v>
      </x:c>
      <x:c r="I16" s="16" t="str">
        <x:v>029</x:v>
      </x:c>
      <x:c r="J16" s="22" t="str">
        <x:v>H. S. Harned &amp; C. L. Hildreth Jr., J. Am. Chem. Soc. 73, 650 (1951)</x:v>
      </x:c>
      <x:c r="K16" s="22"/>
      <x:c r="L16" s="22" t="str">
        <x:v>lobo_1993 | V. M. M. Lobo (1993) | Pure and Applied Chemistry Table 1, ref. 29, PDF p. 14; directly tabulated value</x:v>
      </x:c>
      <x:c r="M16" s="16" t="str">
        <x:v>10.1351/pac199365122613</x:v>
      </x:c>
      <x:c r="N16" s="16" t="str">
        <x:v>data_source/lobo_1993.pdf</x:v>
      </x:c>
      <x:c r="O16" s="22" t="str">
        <x:v>Lobo 1993 Table 1, PDF p.14; bibliography ref.29, PDF p.25</x:v>
      </x:c>
      <x:c r="P16" s="22" t="str">
        <x:v>compilation_table_verified_original_paper_not_archived</x:v>
      </x:c>
      <x:c r="Q16" s="22" t="str">
        <x:v>conditional_exploratory_pending_original_paper_audit</x:v>
      </x:c>
      <x:c r="R16" s="16" t="str">
        <x:v>retrospective_grouped_cv_pool</x:v>
      </x:c>
      <x:c r="S16" s="16" t="str">
        <x:v>COND:298.15K:0.00930000M</x:v>
      </x:c>
      <x:c r="T16" s="20" t="n">
        <x:v>1</x:v>
      </x:c>
      <x:c r="U16" s="16" t="str">
        <x:v>unique_state</x:v>
      </x:c>
      <x:c r="V16" s="22" t="str">
        <x:v>Grouped by the original bibliographic reference cited by Lobo.</x:v>
      </x:c>
    </x:row>
    <x:row r="17" ht="39.599998474121094" hidden="0" customHeight="1">
      <x:c r="A17" s="16" t="str">
        <x:v>F40337</x:v>
      </x:c>
      <x:c r="B17" s="16" t="str">
        <x:v>LiCl-H2O</x:v>
      </x:c>
      <x:c r="C17" s="17" t="n">
        <x:v>298.15</x:v>
      </x:c>
      <x:c r="D17" s="18" t="n">
        <x:v>0.011</x:v>
      </x:c>
      <x:c r="E17" s="19" t="n">
        <x:v>1.313</x:v>
      </x:c>
      <x:c r="F17" s="16" t="str">
        <x:v>BIB:LICL:LOBO1993:REF_029</x:v>
      </x:c>
      <x:c r="G17" s="16" t="str">
        <x:v>BIB:LICL:LOBO1993:REF_029</x:v>
      </x:c>
      <x:c r="H17" s="16" t="str">
        <x:v>bibliographic_original_study_via_compilation</x:v>
      </x:c>
      <x:c r="I17" s="16" t="str">
        <x:v>029</x:v>
      </x:c>
      <x:c r="J17" s="22" t="str">
        <x:v>H. S. Harned &amp; C. L. Hildreth Jr., J. Am. Chem. Soc. 73, 650 (1951)</x:v>
      </x:c>
      <x:c r="K17" s="22"/>
      <x:c r="L17" s="22" t="str">
        <x:v>lobo_1993 | V. M. M. Lobo (1993) | Pure and Applied Chemistry Table 1, ref. 29, PDF p. 14; directly tabulated value</x:v>
      </x:c>
      <x:c r="M17" s="16" t="str">
        <x:v>10.1351/pac199365122613</x:v>
      </x:c>
      <x:c r="N17" s="16" t="str">
        <x:v>data_source/lobo_1993.pdf</x:v>
      </x:c>
      <x:c r="O17" s="22" t="str">
        <x:v>Lobo 1993 Table 1, PDF p.14; bibliography ref.29, PDF p.25</x:v>
      </x:c>
      <x:c r="P17" s="22" t="str">
        <x:v>compilation_table_verified_original_paper_not_archived</x:v>
      </x:c>
      <x:c r="Q17" s="22" t="str">
        <x:v>conditional_exploratory_pending_original_paper_audit</x:v>
      </x:c>
      <x:c r="R17" s="16" t="str">
        <x:v>retrospective_grouped_cv_pool</x:v>
      </x:c>
      <x:c r="S17" s="16" t="str">
        <x:v>COND:298.15K:0.01100000M</x:v>
      </x:c>
      <x:c r="T17" s="20" t="n">
        <x:v>1</x:v>
      </x:c>
      <x:c r="U17" s="16" t="str">
        <x:v>unique_state</x:v>
      </x:c>
      <x:c r="V17" s="22" t="str">
        <x:v>Grouped by the original bibliographic reference cited by Lobo.</x:v>
      </x:c>
    </x:row>
    <x:row r="18" ht="39.599998474121094" hidden="0" customHeight="1">
      <x:c r="A18" s="16" t="str">
        <x:v>F40362</x:v>
      </x:c>
      <x:c r="B18" s="16" t="str">
        <x:v>LiCl-H2O</x:v>
      </x:c>
      <x:c r="C18" s="17" t="n">
        <x:v>298.15</x:v>
      </x:c>
      <x:c r="D18" s="18" t="n">
        <x:v>0.0001</x:v>
      </x:c>
      <x:c r="E18" s="19" t="n">
        <x:v>1.358</x:v>
      </x:c>
      <x:c r="F18" s="16" t="str">
        <x:v>BIB:LICL:LOBO1993:REF_067</x:v>
      </x:c>
      <x:c r="G18" s="16" t="str">
        <x:v>BIB:LICL:LOBO1993:REF_067</x:v>
      </x:c>
      <x:c r="H18" s="16" t="str">
        <x:v>bibliographic_original_study_via_compilation</x:v>
      </x:c>
      <x:c r="I18" s="16" t="str">
        <x:v>067</x:v>
      </x:c>
      <x:c r="J18" s="22" t="str">
        <x:v>D. G. Miller, J. Phys. Chem. 70, 2639 (1966)</x:v>
      </x:c>
      <x:c r="K18" s="22"/>
      <x:c r="L18" s="22" t="str">
        <x:v>lobo_1993 | V. M. M. Lobo (1993) | Pure and Applied Chemistry Table 1, ref. 67, PDF p. 14; directly tabulated value</x:v>
      </x:c>
      <x:c r="M18" s="16" t="str">
        <x:v>10.1351/pac199365122613</x:v>
      </x:c>
      <x:c r="N18" s="16" t="str">
        <x:v>data_source/lobo_1993.pdf</x:v>
      </x:c>
      <x:c r="O18" s="22" t="str">
        <x:v>Lobo 1993 Table 1, PDF p.14; bibliography ref.67, PDF p.27</x:v>
      </x:c>
      <x:c r="P18" s="22" t="str">
        <x:v>compilation_table_verified_original_paper_not_archived</x:v>
      </x:c>
      <x:c r="Q18" s="22" t="str">
        <x:v>conditional_exploratory_pending_original_paper_audit</x:v>
      </x:c>
      <x:c r="R18" s="16" t="str">
        <x:v>retrospective_grouped_cv_pool</x:v>
      </x:c>
      <x:c r="S18" s="16" t="str">
        <x:v>COND:298.15K:0.00010000M</x:v>
      </x:c>
      <x:c r="T18" s="20" t="n">
        <x:v>1</x:v>
      </x:c>
      <x:c r="U18" s="16" t="str">
        <x:v>unique_state</x:v>
      </x:c>
      <x:c r="V18" s="22" t="str">
        <x:v>Grouped by the original bibliographic reference cited by Lobo.</x:v>
      </x:c>
    </x:row>
    <x:row r="19" ht="39.599998474121094" hidden="0" customHeight="1">
      <x:c r="A19" s="16" t="str">
        <x:v>F40363</x:v>
      </x:c>
      <x:c r="B19" s="16" t="str">
        <x:v>LiCl-H2O</x:v>
      </x:c>
      <x:c r="C19" s="17" t="n">
        <x:v>298.15</x:v>
      </x:c>
      <x:c r="D19" s="18" t="n">
        <x:v>0.0005</x:v>
      </x:c>
      <x:c r="E19" s="19" t="n">
        <x:v>1.349</x:v>
      </x:c>
      <x:c r="F19" s="16" t="str">
        <x:v>BIB:LICL:LOBO1993:REF_067</x:v>
      </x:c>
      <x:c r="G19" s="16" t="str">
        <x:v>BIB:LICL:LOBO1993:REF_067</x:v>
      </x:c>
      <x:c r="H19" s="16" t="str">
        <x:v>bibliographic_original_study_via_compilation</x:v>
      </x:c>
      <x:c r="I19" s="16" t="str">
        <x:v>067</x:v>
      </x:c>
      <x:c r="J19" s="22" t="str">
        <x:v>D. G. Miller, J. Phys. Chem. 70, 2639 (1966)</x:v>
      </x:c>
      <x:c r="K19" s="22"/>
      <x:c r="L19" s="22" t="str">
        <x:v>lobo_1993 | V. M. M. Lobo (1993) | Pure and Applied Chemistry Table 1, ref. 67, PDF p. 14; directly tabulated value</x:v>
      </x:c>
      <x:c r="M19" s="16" t="str">
        <x:v>10.1351/pac199365122613</x:v>
      </x:c>
      <x:c r="N19" s="16" t="str">
        <x:v>data_source/lobo_1993.pdf</x:v>
      </x:c>
      <x:c r="O19" s="22" t="str">
        <x:v>Lobo 1993 Table 1, PDF p.14; bibliography ref.67, PDF p.27</x:v>
      </x:c>
      <x:c r="P19" s="22" t="str">
        <x:v>compilation_table_verified_original_paper_not_archived</x:v>
      </x:c>
      <x:c r="Q19" s="22" t="str">
        <x:v>conditional_exploratory_pending_original_paper_audit</x:v>
      </x:c>
      <x:c r="R19" s="16" t="str">
        <x:v>retrospective_grouped_cv_pool</x:v>
      </x:c>
      <x:c r="S19" s="16" t="str">
        <x:v>COND:298.15K:0.00050000M</x:v>
      </x:c>
      <x:c r="T19" s="20" t="n">
        <x:v>1</x:v>
      </x:c>
      <x:c r="U19" s="16" t="str">
        <x:v>unique_state</x:v>
      </x:c>
      <x:c r="V19" s="22" t="str">
        <x:v>Grouped by the original bibliographic reference cited by Lobo.</x:v>
      </x:c>
    </x:row>
    <x:row r="20" ht="39.599998474121094" hidden="0" customHeight="1">
      <x:c r="A20" s="16" t="str">
        <x:v>F40364</x:v>
      </x:c>
      <x:c r="B20" s="16" t="str">
        <x:v>LiCl-H2O</x:v>
      </x:c>
      <x:c r="C20" s="17" t="n">
        <x:v>298.15</x:v>
      </x:c>
      <x:c r="D20" s="18" t="n">
        <x:v>0.001</x:v>
      </x:c>
      <x:c r="E20" s="19" t="n">
        <x:v>1.344</x:v>
      </x:c>
      <x:c r="F20" s="16" t="str">
        <x:v>BIB:LICL:LOBO1993:REF_067</x:v>
      </x:c>
      <x:c r="G20" s="16" t="str">
        <x:v>BIB:LICL:LOBO1993:REF_067</x:v>
      </x:c>
      <x:c r="H20" s="16" t="str">
        <x:v>bibliographic_original_study_via_compilation</x:v>
      </x:c>
      <x:c r="I20" s="16" t="str">
        <x:v>067</x:v>
      </x:c>
      <x:c r="J20" s="22" t="str">
        <x:v>D. G. Miller, J. Phys. Chem. 70, 2639 (1966)</x:v>
      </x:c>
      <x:c r="K20" s="22"/>
      <x:c r="L20" s="22" t="str">
        <x:v>lobo_1993 | V. M. M. Lobo (1993) | Pure and Applied Chemistry Table 1, ref. 67, PDF p. 14; directly tabulated value</x:v>
      </x:c>
      <x:c r="M20" s="16" t="str">
        <x:v>10.1351/pac199365122613</x:v>
      </x:c>
      <x:c r="N20" s="16" t="str">
        <x:v>data_source/lobo_1993.pdf</x:v>
      </x:c>
      <x:c r="O20" s="22" t="str">
        <x:v>Lobo 1993 Table 1, PDF p.14; bibliography ref.67, PDF p.27</x:v>
      </x:c>
      <x:c r="P20" s="22" t="str">
        <x:v>compilation_table_verified_original_paper_not_archived</x:v>
      </x:c>
      <x:c r="Q20" s="22" t="str">
        <x:v>conditional_exploratory_pending_original_paper_audit</x:v>
      </x:c>
      <x:c r="R20" s="16" t="str">
        <x:v>retrospective_grouped_cv_pool</x:v>
      </x:c>
      <x:c r="S20" s="16" t="str">
        <x:v>COND:298.15K:0.00100000M</x:v>
      </x:c>
      <x:c r="T20" s="20" t="n">
        <x:v>1</x:v>
      </x:c>
      <x:c r="U20" s="16" t="str">
        <x:v>unique_state</x:v>
      </x:c>
      <x:c r="V20" s="22" t="str">
        <x:v>Grouped by the original bibliographic reference cited by Lobo.</x:v>
      </x:c>
    </x:row>
    <x:row r="21" ht="39.599998474121094" hidden="0" customHeight="1">
      <x:c r="A21" s="16" t="str">
        <x:v>F40365</x:v>
      </x:c>
      <x:c r="B21" s="16" t="str">
        <x:v>LiCl-H2O</x:v>
      </x:c>
      <x:c r="C21" s="17" t="n">
        <x:v>298.15</x:v>
      </x:c>
      <x:c r="D21" s="18" t="n">
        <x:v>0.005</x:v>
      </x:c>
      <x:c r="E21" s="19" t="n">
        <x:v>1.324</x:v>
      </x:c>
      <x:c r="F21" s="16" t="str">
        <x:v>BIB:LICL:LOBO1993:REF_067</x:v>
      </x:c>
      <x:c r="G21" s="16" t="str">
        <x:v>BIB:LICL:LOBO1993:REF_067</x:v>
      </x:c>
      <x:c r="H21" s="16" t="str">
        <x:v>bibliographic_original_study_via_compilation</x:v>
      </x:c>
      <x:c r="I21" s="16" t="str">
        <x:v>067</x:v>
      </x:c>
      <x:c r="J21" s="22" t="str">
        <x:v>D. G. Miller, J. Phys. Chem. 70, 2639 (1966)</x:v>
      </x:c>
      <x:c r="K21" s="22"/>
      <x:c r="L21" s="22" t="str">
        <x:v>lobo_1993 | V. M. M. Lobo (1993) | Pure and Applied Chemistry Table 1, ref. 67, PDF p. 14; directly tabulated value</x:v>
      </x:c>
      <x:c r="M21" s="16" t="str">
        <x:v>10.1351/pac199365122613</x:v>
      </x:c>
      <x:c r="N21" s="16" t="str">
        <x:v>data_source/lobo_1993.pdf</x:v>
      </x:c>
      <x:c r="O21" s="22" t="str">
        <x:v>Lobo 1993 Table 1, PDF p.14; bibliography ref.67, PDF p.27</x:v>
      </x:c>
      <x:c r="P21" s="22" t="str">
        <x:v>compilation_table_verified_original_paper_not_archived</x:v>
      </x:c>
      <x:c r="Q21" s="22" t="str">
        <x:v>conditional_exploratory_pending_original_paper_audit</x:v>
      </x:c>
      <x:c r="R21" s="16" t="str">
        <x:v>retrospective_grouped_cv_pool</x:v>
      </x:c>
      <x:c r="S21" s="16" t="str">
        <x:v>COND:298.15K:0.00500000M</x:v>
      </x:c>
      <x:c r="T21" s="20" t="n">
        <x:v>1</x:v>
      </x:c>
      <x:c r="U21" s="16" t="str">
        <x:v>unique_state</x:v>
      </x:c>
      <x:c r="V21" s="22" t="str">
        <x:v>Grouped by the original bibliographic reference cited by Lobo.</x:v>
      </x:c>
    </x:row>
    <x:row r="22" ht="39.599998474121094" hidden="0" customHeight="1">
      <x:c r="A22" s="16" t="str">
        <x:v>F40366</x:v>
      </x:c>
      <x:c r="B22" s="16" t="str">
        <x:v>LiCl-H2O</x:v>
      </x:c>
      <x:c r="C22" s="17" t="n">
        <x:v>298.15</x:v>
      </x:c>
      <x:c r="D22" s="18" t="n">
        <x:v>0.01</x:v>
      </x:c>
      <x:c r="E22" s="19" t="n">
        <x:v>1.312</x:v>
      </x:c>
      <x:c r="F22" s="16" t="str">
        <x:v>BIB:LICL:LOBO1993:REF_067</x:v>
      </x:c>
      <x:c r="G22" s="16" t="str">
        <x:v>BIB:LICL:LOBO1993:REF_067</x:v>
      </x:c>
      <x:c r="H22" s="16" t="str">
        <x:v>bibliographic_original_study_via_compilation</x:v>
      </x:c>
      <x:c r="I22" s="16" t="str">
        <x:v>067</x:v>
      </x:c>
      <x:c r="J22" s="22" t="str">
        <x:v>D. G. Miller, J. Phys. Chem. 70, 2639 (1966)</x:v>
      </x:c>
      <x:c r="K22" s="22"/>
      <x:c r="L22" s="22" t="str">
        <x:v>lobo_1993 | V. M. M. Lobo (1993) | Pure and Applied Chemistry Table 1, ref. 67, PDF p. 14; directly tabulated value</x:v>
      </x:c>
      <x:c r="M22" s="16" t="str">
        <x:v>10.1351/pac199365122613</x:v>
      </x:c>
      <x:c r="N22" s="16" t="str">
        <x:v>data_source/lobo_1993.pdf</x:v>
      </x:c>
      <x:c r="O22" s="22" t="str">
        <x:v>Lobo 1993 Table 1, PDF p.14; bibliography ref.67, PDF p.27</x:v>
      </x:c>
      <x:c r="P22" s="22" t="str">
        <x:v>compilation_table_verified_original_paper_not_archived</x:v>
      </x:c>
      <x:c r="Q22" s="22" t="str">
        <x:v>conditional_exploratory_pending_original_paper_audit</x:v>
      </x:c>
      <x:c r="R22" s="16" t="str">
        <x:v>retrospective_grouped_cv_pool</x:v>
      </x:c>
      <x:c r="S22" s="16" t="str">
        <x:v>COND:298.15K:0.01000000M</x:v>
      </x:c>
      <x:c r="T22" s="20" t="n">
        <x:v>1</x:v>
      </x:c>
      <x:c r="U22" s="16" t="str">
        <x:v>unique_state</x:v>
      </x:c>
      <x:c r="V22" s="22" t="str">
        <x:v>Grouped by the original bibliographic reference cited by Lobo.</x:v>
      </x:c>
    </x:row>
    <x:row r="23" ht="39.599998474121094" hidden="0" customHeight="1">
      <x:c r="A23" s="16" t="str">
        <x:v>F40367</x:v>
      </x:c>
      <x:c r="B23" s="16" t="str">
        <x:v>LiCl-H2O</x:v>
      </x:c>
      <x:c r="C23" s="17" t="n">
        <x:v>298.15</x:v>
      </x:c>
      <x:c r="D23" s="18" t="n">
        <x:v>0.1</x:v>
      </x:c>
      <x:c r="E23" s="19" t="n">
        <x:v>1.268</x:v>
      </x:c>
      <x:c r="F23" s="16" t="str">
        <x:v>BIB:LICL:LOBO1993:REF_067</x:v>
      </x:c>
      <x:c r="G23" s="16" t="str">
        <x:v>BIB:LICL:LOBO1993:REF_067</x:v>
      </x:c>
      <x:c r="H23" s="16" t="str">
        <x:v>bibliographic_original_study_via_compilation</x:v>
      </x:c>
      <x:c r="I23" s="16" t="str">
        <x:v>067</x:v>
      </x:c>
      <x:c r="J23" s="22" t="str">
        <x:v>D. G. Miller, J. Phys. Chem. 70, 2639 (1966)</x:v>
      </x:c>
      <x:c r="K23" s="22"/>
      <x:c r="L23" s="22" t="str">
        <x:v>lobo_1993 | V. M. M. Lobo (1993) | Pure and Applied Chemistry Table 1, ref. 67, PDF p. 14; directly tabulated value</x:v>
      </x:c>
      <x:c r="M23" s="16" t="str">
        <x:v>10.1351/pac199365122613</x:v>
      </x:c>
      <x:c r="N23" s="16" t="str">
        <x:v>data_source/lobo_1993.pdf</x:v>
      </x:c>
      <x:c r="O23" s="22" t="str">
        <x:v>Lobo 1993 Table 1, PDF p.14; bibliography ref.67, PDF p.27</x:v>
      </x:c>
      <x:c r="P23" s="22" t="str">
        <x:v>compilation_table_verified_original_paper_not_archived</x:v>
      </x:c>
      <x:c r="Q23" s="22" t="str">
        <x:v>conditional_exploratory_pending_original_paper_audit</x:v>
      </x:c>
      <x:c r="R23" s="16" t="str">
        <x:v>retrospective_grouped_cv_pool</x:v>
      </x:c>
      <x:c r="S23" s="16" t="str">
        <x:v>COND:298.15K:0.10000000M</x:v>
      </x:c>
      <x:c r="T23" s="20" t="n">
        <x:v>3</x:v>
      </x:c>
      <x:c r="U23" s="16" t="str">
        <x:v>review_same_state</x:v>
      </x:c>
      <x:c r="V23" s="22" t="str">
        <x:v>Grouped by the original bibliographic reference cited by Lobo.</x:v>
      </x:c>
    </x:row>
    <x:row r="24" ht="39.599998474121094" hidden="0" customHeight="1">
      <x:c r="A24" s="16" t="str">
        <x:v>F40368</x:v>
      </x:c>
      <x:c r="B24" s="16" t="str">
        <x:v>LiCl-H2O</x:v>
      </x:c>
      <x:c r="C24" s="17" t="n">
        <x:v>298.15</x:v>
      </x:c>
      <x:c r="D24" s="18" t="n">
        <x:v>0.2</x:v>
      </x:c>
      <x:c r="E24" s="19" t="n">
        <x:v>1.261</x:v>
      </x:c>
      <x:c r="F24" s="16" t="str">
        <x:v>BIB:LICL:LOBO1993:REF_067</x:v>
      </x:c>
      <x:c r="G24" s="16" t="str">
        <x:v>BIB:LICL:LOBO1993:REF_067</x:v>
      </x:c>
      <x:c r="H24" s="16" t="str">
        <x:v>bibliographic_original_study_via_compilation</x:v>
      </x:c>
      <x:c r="I24" s="16" t="str">
        <x:v>067</x:v>
      </x:c>
      <x:c r="J24" s="22" t="str">
        <x:v>D. G. Miller, J. Phys. Chem. 70, 2639 (1966)</x:v>
      </x:c>
      <x:c r="K24" s="22"/>
      <x:c r="L24" s="22" t="str">
        <x:v>lobo_1993 | V. M. M. Lobo (1993) | Pure and Applied Chemistry Table 1, ref. 67, PDF p. 14; directly tabulated value</x:v>
      </x:c>
      <x:c r="M24" s="16" t="str">
        <x:v>10.1351/pac199365122613</x:v>
      </x:c>
      <x:c r="N24" s="16" t="str">
        <x:v>data_source/lobo_1993.pdf</x:v>
      </x:c>
      <x:c r="O24" s="22" t="str">
        <x:v>Lobo 1993 Table 1, PDF p.14; bibliography ref.67, PDF p.27</x:v>
      </x:c>
      <x:c r="P24" s="22" t="str">
        <x:v>compilation_table_verified_original_paper_not_archived</x:v>
      </x:c>
      <x:c r="Q24" s="22" t="str">
        <x:v>conditional_exploratory_pending_original_paper_audit</x:v>
      </x:c>
      <x:c r="R24" s="16" t="str">
        <x:v>retrospective_grouped_cv_pool</x:v>
      </x:c>
      <x:c r="S24" s="16" t="str">
        <x:v>COND:298.15K:0.20000000M</x:v>
      </x:c>
      <x:c r="T24" s="20" t="n">
        <x:v>2</x:v>
      </x:c>
      <x:c r="U24" s="16" t="str">
        <x:v>review_same_state</x:v>
      </x:c>
      <x:c r="V24" s="22" t="str">
        <x:v>Grouped by the original bibliographic reference cited by Lobo.</x:v>
      </x:c>
    </x:row>
    <x:row r="25" ht="39.599998474121094" hidden="0" customHeight="1">
      <x:c r="A25" s="16" t="str">
        <x:v>F40369</x:v>
      </x:c>
      <x:c r="B25" s="16" t="str">
        <x:v>LiCl-H2O</x:v>
      </x:c>
      <x:c r="C25" s="17" t="n">
        <x:v>298.15</x:v>
      </x:c>
      <x:c r="D25" s="18" t="n">
        <x:v>0.5</x:v>
      </x:c>
      <x:c r="E25" s="19" t="n">
        <x:v>1.272</x:v>
      </x:c>
      <x:c r="F25" s="16" t="str">
        <x:v>BIB:LICL:LOBO1993:REF_067</x:v>
      </x:c>
      <x:c r="G25" s="16" t="str">
        <x:v>BIB:LICL:LOBO1993:REF_067</x:v>
      </x:c>
      <x:c r="H25" s="16" t="str">
        <x:v>bibliographic_original_study_via_compilation</x:v>
      </x:c>
      <x:c r="I25" s="16" t="str">
        <x:v>067</x:v>
      </x:c>
      <x:c r="J25" s="22" t="str">
        <x:v>D. G. Miller, J. Phys. Chem. 70, 2639 (1966)</x:v>
      </x:c>
      <x:c r="K25" s="22"/>
      <x:c r="L25" s="22" t="str">
        <x:v>lobo_1993 | V. M. M. Lobo (1993) | Pure and Applied Chemistry Table 1, ref. 67, PDF p. 14; directly tabulated value</x:v>
      </x:c>
      <x:c r="M25" s="16" t="str">
        <x:v>10.1351/pac199365122613</x:v>
      </x:c>
      <x:c r="N25" s="16" t="str">
        <x:v>data_source/lobo_1993.pdf</x:v>
      </x:c>
      <x:c r="O25" s="22" t="str">
        <x:v>Lobo 1993 Table 1, PDF p.14; bibliography ref.67, PDF p.27</x:v>
      </x:c>
      <x:c r="P25" s="22" t="str">
        <x:v>compilation_table_verified_original_paper_not_archived</x:v>
      </x:c>
      <x:c r="Q25" s="22" t="str">
        <x:v>conditional_exploratory_pending_original_paper_audit</x:v>
      </x:c>
      <x:c r="R25" s="16" t="str">
        <x:v>retrospective_grouped_cv_pool</x:v>
      </x:c>
      <x:c r="S25" s="16" t="str">
        <x:v>COND:298.15K:0.50000000M</x:v>
      </x:c>
      <x:c r="T25" s="20" t="n">
        <x:v>3</x:v>
      </x:c>
      <x:c r="U25" s="16" t="str">
        <x:v>review_same_state</x:v>
      </x:c>
      <x:c r="V25" s="22" t="str">
        <x:v>Grouped by the original bibliographic reference cited by Lobo.</x:v>
      </x:c>
    </x:row>
    <x:row r="26" ht="39.599998474121094" hidden="0" customHeight="1">
      <x:c r="A26" s="16" t="str">
        <x:v>F40370</x:v>
      </x:c>
      <x:c r="B26" s="16" t="str">
        <x:v>LiCl-H2O</x:v>
      </x:c>
      <x:c r="C26" s="17" t="n">
        <x:v>298.15</x:v>
      </x:c>
      <x:c r="D26" s="18" t="n">
        <x:v>1.5</x:v>
      </x:c>
      <x:c r="E26" s="19" t="n">
        <x:v>1.337</x:v>
      </x:c>
      <x:c r="F26" s="16" t="str">
        <x:v>BIB:LICL:LOBO1993:REF_067</x:v>
      </x:c>
      <x:c r="G26" s="16" t="str">
        <x:v>BIB:LICL:LOBO1993:REF_067</x:v>
      </x:c>
      <x:c r="H26" s="16" t="str">
        <x:v>bibliographic_original_study_via_compilation</x:v>
      </x:c>
      <x:c r="I26" s="16" t="str">
        <x:v>067</x:v>
      </x:c>
      <x:c r="J26" s="22" t="str">
        <x:v>D. G. Miller, J. Phys. Chem. 70, 2639 (1966)</x:v>
      </x:c>
      <x:c r="K26" s="22"/>
      <x:c r="L26" s="22" t="str">
        <x:v>lobo_1993 | V. M. M. Lobo (1993) | Pure and Applied Chemistry Table 1, ref. 67, PDF p. 14; directly tabulated value</x:v>
      </x:c>
      <x:c r="M26" s="16" t="str">
        <x:v>10.1351/pac199365122613</x:v>
      </x:c>
      <x:c r="N26" s="16" t="str">
        <x:v>data_source/lobo_1993.pdf</x:v>
      </x:c>
      <x:c r="O26" s="22" t="str">
        <x:v>Lobo 1993 Table 1, PDF p.14; bibliography ref.67, PDF p.27</x:v>
      </x:c>
      <x:c r="P26" s="22" t="str">
        <x:v>compilation_table_verified_original_paper_not_archived</x:v>
      </x:c>
      <x:c r="Q26" s="22" t="str">
        <x:v>conditional_exploratory_pending_original_paper_audit</x:v>
      </x:c>
      <x:c r="R26" s="16" t="str">
        <x:v>retrospective_grouped_cv_pool</x:v>
      </x:c>
      <x:c r="S26" s="16" t="str">
        <x:v>COND:298.15K:1.50000000M</x:v>
      </x:c>
      <x:c r="T26" s="20" t="n">
        <x:v>2</x:v>
      </x:c>
      <x:c r="U26" s="16" t="str">
        <x:v>review_same_state</x:v>
      </x:c>
      <x:c r="V26" s="22" t="str">
        <x:v>Grouped by the original bibliographic reference cited by Lobo.</x:v>
      </x:c>
    </x:row>
    <x:row r="27" ht="39.599998474121094" hidden="0" customHeight="1">
      <x:c r="A27" s="16" t="str">
        <x:v>F40371</x:v>
      </x:c>
      <x:c r="B27" s="16" t="str">
        <x:v>LiCl-H2O</x:v>
      </x:c>
      <x:c r="C27" s="17" t="n">
        <x:v>298.15</x:v>
      </x:c>
      <x:c r="D27" s="18" t="n">
        <x:v>2</x:v>
      </x:c>
      <x:c r="E27" s="19" t="n">
        <x:v>1.369</x:v>
      </x:c>
      <x:c r="F27" s="16" t="str">
        <x:v>BIB:LICL:LOBO1993:REF_067</x:v>
      </x:c>
      <x:c r="G27" s="16" t="str">
        <x:v>BIB:LICL:LOBO1993:REF_067</x:v>
      </x:c>
      <x:c r="H27" s="16" t="str">
        <x:v>bibliographic_original_study_via_compilation</x:v>
      </x:c>
      <x:c r="I27" s="16" t="str">
        <x:v>067</x:v>
      </x:c>
      <x:c r="J27" s="22" t="str">
        <x:v>D. G. Miller, J. Phys. Chem. 70, 2639 (1966)</x:v>
      </x:c>
      <x:c r="K27" s="22"/>
      <x:c r="L27" s="22" t="str">
        <x:v>lobo_1993 | V. M. M. Lobo (1993) | Pure and Applied Chemistry Table 1, ref. 67, PDF p. 14; directly tabulated value</x:v>
      </x:c>
      <x:c r="M27" s="16" t="str">
        <x:v>10.1351/pac199365122613</x:v>
      </x:c>
      <x:c r="N27" s="16" t="str">
        <x:v>data_source/lobo_1993.pdf</x:v>
      </x:c>
      <x:c r="O27" s="22" t="str">
        <x:v>Lobo 1993 Table 1, PDF p.14; bibliography ref.67, PDF p.27</x:v>
      </x:c>
      <x:c r="P27" s="22" t="str">
        <x:v>compilation_table_verified_original_paper_not_archived</x:v>
      </x:c>
      <x:c r="Q27" s="22" t="str">
        <x:v>conditional_exploratory_pending_original_paper_audit</x:v>
      </x:c>
      <x:c r="R27" s="16" t="str">
        <x:v>retrospective_grouped_cv_pool</x:v>
      </x:c>
      <x:c r="S27" s="16" t="str">
        <x:v>COND:298.15K:2.00000000M</x:v>
      </x:c>
      <x:c r="T27" s="20" t="n">
        <x:v>2</x:v>
      </x:c>
      <x:c r="U27" s="16" t="str">
        <x:v>review_same_state</x:v>
      </x:c>
      <x:c r="V27" s="22" t="str">
        <x:v>Grouped by the original bibliographic reference cited by Lobo.</x:v>
      </x:c>
    </x:row>
    <x:row r="28" ht="39.599998474121094" hidden="0" customHeight="1">
      <x:c r="A28" s="16" t="str">
        <x:v>F40372</x:v>
      </x:c>
      <x:c r="B28" s="16" t="str">
        <x:v>LiCl-H2O</x:v>
      </x:c>
      <x:c r="C28" s="17" t="n">
        <x:v>298.15</x:v>
      </x:c>
      <x:c r="D28" s="18" t="n">
        <x:v>2.5</x:v>
      </x:c>
      <x:c r="E28" s="19" t="n">
        <x:v>1.398</x:v>
      </x:c>
      <x:c r="F28" s="16" t="str">
        <x:v>BIB:LICL:LOBO1993:REF_067</x:v>
      </x:c>
      <x:c r="G28" s="16" t="str">
        <x:v>BIB:LICL:LOBO1993:REF_067</x:v>
      </x:c>
      <x:c r="H28" s="16" t="str">
        <x:v>bibliographic_original_study_via_compilation</x:v>
      </x:c>
      <x:c r="I28" s="16" t="str">
        <x:v>067</x:v>
      </x:c>
      <x:c r="J28" s="22" t="str">
        <x:v>D. G. Miller, J. Phys. Chem. 70, 2639 (1966)</x:v>
      </x:c>
      <x:c r="K28" s="22"/>
      <x:c r="L28" s="22" t="str">
        <x:v>lobo_1993 | V. M. M. Lobo (1993) | Pure and Applied Chemistry Table 1, ref. 67, PDF p. 14; directly tabulated value</x:v>
      </x:c>
      <x:c r="M28" s="16" t="str">
        <x:v>10.1351/pac199365122613</x:v>
      </x:c>
      <x:c r="N28" s="16" t="str">
        <x:v>data_source/lobo_1993.pdf</x:v>
      </x:c>
      <x:c r="O28" s="22" t="str">
        <x:v>Lobo 1993 Table 1, PDF p.14; bibliography ref.67, PDF p.27</x:v>
      </x:c>
      <x:c r="P28" s="22" t="str">
        <x:v>compilation_table_verified_original_paper_not_archived</x:v>
      </x:c>
      <x:c r="Q28" s="22" t="str">
        <x:v>conditional_exploratory_pending_original_paper_audit</x:v>
      </x:c>
      <x:c r="R28" s="16" t="str">
        <x:v>retrospective_grouped_cv_pool</x:v>
      </x:c>
      <x:c r="S28" s="16" t="str">
        <x:v>COND:298.15K:2.50000000M</x:v>
      </x:c>
      <x:c r="T28" s="20" t="n">
        <x:v>2</x:v>
      </x:c>
      <x:c r="U28" s="16" t="str">
        <x:v>review_same_state</x:v>
      </x:c>
      <x:c r="V28" s="22" t="str">
        <x:v>Grouped by the original bibliographic reference cited by Lobo.</x:v>
      </x:c>
    </x:row>
    <x:row r="29" ht="39.599998474121094" hidden="0" customHeight="1">
      <x:c r="A29" s="16" t="str">
        <x:v>F40373</x:v>
      </x:c>
      <x:c r="B29" s="16" t="str">
        <x:v>LiCl-H2O</x:v>
      </x:c>
      <x:c r="C29" s="17" t="n">
        <x:v>298.15</x:v>
      </x:c>
      <x:c r="D29" s="18" t="n">
        <x:v>3</x:v>
      </x:c>
      <x:c r="E29" s="19" t="n">
        <x:v>1.426</x:v>
      </x:c>
      <x:c r="F29" s="16" t="str">
        <x:v>BIB:LICL:LOBO1993:REF_067</x:v>
      </x:c>
      <x:c r="G29" s="16" t="str">
        <x:v>BIB:LICL:LOBO1993:REF_067</x:v>
      </x:c>
      <x:c r="H29" s="16" t="str">
        <x:v>bibliographic_original_study_via_compilation</x:v>
      </x:c>
      <x:c r="I29" s="16" t="str">
        <x:v>067</x:v>
      </x:c>
      <x:c r="J29" s="22" t="str">
        <x:v>D. G. Miller, J. Phys. Chem. 70, 2639 (1966)</x:v>
      </x:c>
      <x:c r="K29" s="22"/>
      <x:c r="L29" s="22" t="str">
        <x:v>lobo_1993 | V. M. M. Lobo (1993) | Pure and Applied Chemistry Table 1, ref. 67, PDF p. 14; directly tabulated value</x:v>
      </x:c>
      <x:c r="M29" s="16" t="str">
        <x:v>10.1351/pac199365122613</x:v>
      </x:c>
      <x:c r="N29" s="16" t="str">
        <x:v>data_source/lobo_1993.pdf</x:v>
      </x:c>
      <x:c r="O29" s="22" t="str">
        <x:v>Lobo 1993 Table 1, PDF p.14; bibliography ref.67, PDF p.27</x:v>
      </x:c>
      <x:c r="P29" s="22" t="str">
        <x:v>compilation_table_verified_original_paper_not_archived</x:v>
      </x:c>
      <x:c r="Q29" s="22" t="str">
        <x:v>conditional_exploratory_pending_original_paper_audit</x:v>
      </x:c>
      <x:c r="R29" s="16" t="str">
        <x:v>retrospective_grouped_cv_pool</x:v>
      </x:c>
      <x:c r="S29" s="16" t="str">
        <x:v>COND:298.15K:3.00000000M</x:v>
      </x:c>
      <x:c r="T29" s="20" t="n">
        <x:v>2</x:v>
      </x:c>
      <x:c r="U29" s="16" t="str">
        <x:v>review_same_state</x:v>
      </x:c>
      <x:c r="V29" s="22" t="str">
        <x:v>Grouped by the original bibliographic reference cited by Lobo.</x:v>
      </x:c>
    </x:row>
    <x:row r="30" ht="39.599998474121094" hidden="0" customHeight="1">
      <x:c r="A30" s="16" t="str">
        <x:v>F40312</x:v>
      </x:c>
      <x:c r="B30" s="16" t="str">
        <x:v>LiCl-H2O</x:v>
      </x:c>
      <x:c r="C30" s="17" t="n">
        <x:v>298.15</x:v>
      </x:c>
      <x:c r="D30" s="18" t="n">
        <x:v>0.05</x:v>
      </x:c>
      <x:c r="E30" s="19" t="n">
        <x:v>1.28</x:v>
      </x:c>
      <x:c r="F30" s="16" t="str">
        <x:v>BIB:LICL:LOBO1993:REF_084</x:v>
      </x:c>
      <x:c r="G30" s="16" t="str">
        <x:v>BIB:LICL:LOBO1993:REF_084</x:v>
      </x:c>
      <x:c r="H30" s="16" t="str">
        <x:v>bibliographic_original_study_via_compilation</x:v>
      </x:c>
      <x:c r="I30" s="16" t="str">
        <x:v>084</x:v>
      </x:c>
      <x:c r="J30" s="22" t="str">
        <x:v>R. H. Stokes, J. Am. Chem. Soc. 72, 2243 (1950)</x:v>
      </x:c>
      <x:c r="K30" s="22"/>
      <x:c r="L30" s="22" t="str">
        <x:v>lobo_1993 | V. M. M. Lobo (1993) | Pure and Applied Chemistry Table 1, ref. 84, PDF p. 14; directly tabulated value</x:v>
      </x:c>
      <x:c r="M30" s="16" t="str">
        <x:v>10.1351/pac199365122613</x:v>
      </x:c>
      <x:c r="N30" s="16" t="str">
        <x:v>data_source/lobo_1993.pdf</x:v>
      </x:c>
      <x:c r="O30" s="22" t="str">
        <x:v>Lobo 1993 Table 1, PDF p.14; bibliography ref.84, PDF p.27</x:v>
      </x:c>
      <x:c r="P30" s="22" t="str">
        <x:v>compilation_table_verified_original_paper_not_archived</x:v>
      </x:c>
      <x:c r="Q30" s="22" t="str">
        <x:v>conditional_exploratory_pending_original_paper_audit</x:v>
      </x:c>
      <x:c r="R30" s="16" t="str">
        <x:v>retrospective_grouped_cv_pool</x:v>
      </x:c>
      <x:c r="S30" s="16" t="str">
        <x:v>COND:298.15K:0.05000000M</x:v>
      </x:c>
      <x:c r="T30" s="20" t="n">
        <x:v>1</x:v>
      </x:c>
      <x:c r="U30" s="16" t="str">
        <x:v>unique_state</x:v>
      </x:c>
      <x:c r="V30" s="22" t="str">
        <x:v>Grouped by the original bibliographic reference cited by Lobo.</x:v>
      </x:c>
    </x:row>
    <x:row r="31" ht="39.599998474121094" hidden="0" customHeight="1">
      <x:c r="A31" s="16" t="str">
        <x:v>F40313</x:v>
      </x:c>
      <x:c r="B31" s="16" t="str">
        <x:v>LiCl-H2O</x:v>
      </x:c>
      <x:c r="C31" s="17" t="n">
        <x:v>298.15</x:v>
      </x:c>
      <x:c r="D31" s="18" t="n">
        <x:v>0.1</x:v>
      </x:c>
      <x:c r="E31" s="19" t="n">
        <x:v>1.269</x:v>
      </x:c>
      <x:c r="F31" s="16" t="str">
        <x:v>BIB:LICL:LOBO1993:REF_084</x:v>
      </x:c>
      <x:c r="G31" s="16" t="str">
        <x:v>BIB:LICL:LOBO1993:REF_084</x:v>
      </x:c>
      <x:c r="H31" s="16" t="str">
        <x:v>bibliographic_original_study_via_compilation</x:v>
      </x:c>
      <x:c r="I31" s="16" t="str">
        <x:v>084</x:v>
      </x:c>
      <x:c r="J31" s="22" t="str">
        <x:v>R. H. Stokes, J. Am. Chem. Soc. 72, 2243 (1950)</x:v>
      </x:c>
      <x:c r="K31" s="22"/>
      <x:c r="L31" s="22" t="str">
        <x:v>lobo_1993 | V. M. M. Lobo (1993) | Pure and Applied Chemistry Table 1, ref. 84, PDF p. 14; directly tabulated value</x:v>
      </x:c>
      <x:c r="M31" s="16" t="str">
        <x:v>10.1351/pac199365122613</x:v>
      </x:c>
      <x:c r="N31" s="16" t="str">
        <x:v>data_source/lobo_1993.pdf</x:v>
      </x:c>
      <x:c r="O31" s="22" t="str">
        <x:v>Lobo 1993 Table 1, PDF p.14; bibliography ref.84, PDF p.27</x:v>
      </x:c>
      <x:c r="P31" s="22" t="str">
        <x:v>compilation_table_verified_original_paper_not_archived</x:v>
      </x:c>
      <x:c r="Q31" s="22" t="str">
        <x:v>conditional_exploratory_pending_original_paper_audit</x:v>
      </x:c>
      <x:c r="R31" s="16" t="str">
        <x:v>retrospective_grouped_cv_pool</x:v>
      </x:c>
      <x:c r="S31" s="16" t="str">
        <x:v>COND:298.15K:0.10000000M</x:v>
      </x:c>
      <x:c r="T31" s="20" t="n">
        <x:v>3</x:v>
      </x:c>
      <x:c r="U31" s="16" t="str">
        <x:v>review_same_state</x:v>
      </x:c>
      <x:c r="V31" s="22" t="str">
        <x:v>Grouped by the original bibliographic reference cited by Lobo.</x:v>
      </x:c>
    </x:row>
    <x:row r="32" ht="39.599998474121094" hidden="0" customHeight="1">
      <x:c r="A32" s="16" t="str">
        <x:v>F40314</x:v>
      </x:c>
      <x:c r="B32" s="16" t="str">
        <x:v>LiCl-H2O</x:v>
      </x:c>
      <x:c r="C32" s="17" t="n">
        <x:v>298.15</x:v>
      </x:c>
      <x:c r="D32" s="18" t="n">
        <x:v>0.2</x:v>
      </x:c>
      <x:c r="E32" s="19" t="n">
        <x:v>1.267</x:v>
      </x:c>
      <x:c r="F32" s="16" t="str">
        <x:v>BIB:LICL:LOBO1993:REF_084</x:v>
      </x:c>
      <x:c r="G32" s="16" t="str">
        <x:v>BIB:LICL:LOBO1993:REF_084</x:v>
      </x:c>
      <x:c r="H32" s="16" t="str">
        <x:v>bibliographic_original_study_via_compilation</x:v>
      </x:c>
      <x:c r="I32" s="16" t="str">
        <x:v>084</x:v>
      </x:c>
      <x:c r="J32" s="22" t="str">
        <x:v>R. H. Stokes, J. Am. Chem. Soc. 72, 2243 (1950)</x:v>
      </x:c>
      <x:c r="K32" s="22"/>
      <x:c r="L32" s="22" t="str">
        <x:v>lobo_1993 | V. M. M. Lobo (1993) | Pure and Applied Chemistry Table 1, ref. 84, PDF p. 14; directly tabulated value</x:v>
      </x:c>
      <x:c r="M32" s="16" t="str">
        <x:v>10.1351/pac199365122613</x:v>
      </x:c>
      <x:c r="N32" s="16" t="str">
        <x:v>data_source/lobo_1993.pdf</x:v>
      </x:c>
      <x:c r="O32" s="22" t="str">
        <x:v>Lobo 1993 Table 1, PDF p.14; bibliography ref.84, PDF p.27</x:v>
      </x:c>
      <x:c r="P32" s="22" t="str">
        <x:v>compilation_table_verified_original_paper_not_archived</x:v>
      </x:c>
      <x:c r="Q32" s="22" t="str">
        <x:v>conditional_exploratory_pending_original_paper_audit</x:v>
      </x:c>
      <x:c r="R32" s="16" t="str">
        <x:v>retrospective_grouped_cv_pool</x:v>
      </x:c>
      <x:c r="S32" s="16" t="str">
        <x:v>COND:298.15K:0.20000000M</x:v>
      </x:c>
      <x:c r="T32" s="20" t="n">
        <x:v>2</x:v>
      </x:c>
      <x:c r="U32" s="16" t="str">
        <x:v>review_same_state</x:v>
      </x:c>
      <x:c r="V32" s="22" t="str">
        <x:v>Grouped by the original bibliographic reference cited by Lobo.</x:v>
      </x:c>
    </x:row>
    <x:row r="33" ht="39.599998474121094" hidden="0" customHeight="1">
      <x:c r="A33" s="16" t="str">
        <x:v>F40315</x:v>
      </x:c>
      <x:c r="B33" s="16" t="str">
        <x:v>LiCl-H2O</x:v>
      </x:c>
      <x:c r="C33" s="17" t="n">
        <x:v>298.15</x:v>
      </x:c>
      <x:c r="D33" s="18" t="n">
        <x:v>0.3</x:v>
      </x:c>
      <x:c r="E33" s="19" t="n">
        <x:v>1.269</x:v>
      </x:c>
      <x:c r="F33" s="16" t="str">
        <x:v>BIB:LICL:LOBO1993:REF_084</x:v>
      </x:c>
      <x:c r="G33" s="16" t="str">
        <x:v>BIB:LICL:LOBO1993:REF_084</x:v>
      </x:c>
      <x:c r="H33" s="16" t="str">
        <x:v>bibliographic_original_study_via_compilation</x:v>
      </x:c>
      <x:c r="I33" s="16" t="str">
        <x:v>084</x:v>
      </x:c>
      <x:c r="J33" s="22" t="str">
        <x:v>R. H. Stokes, J. Am. Chem. Soc. 72, 2243 (1950)</x:v>
      </x:c>
      <x:c r="K33" s="22"/>
      <x:c r="L33" s="22" t="str">
        <x:v>lobo_1993 | V. M. M. Lobo (1993) | Pure and Applied Chemistry Table 1, ref. 84, PDF p. 14; directly tabulated value</x:v>
      </x:c>
      <x:c r="M33" s="16" t="str">
        <x:v>10.1351/pac199365122613</x:v>
      </x:c>
      <x:c r="N33" s="16" t="str">
        <x:v>data_source/lobo_1993.pdf</x:v>
      </x:c>
      <x:c r="O33" s="22" t="str">
        <x:v>Lobo 1993 Table 1, PDF p.14; bibliography ref.84, PDF p.27</x:v>
      </x:c>
      <x:c r="P33" s="22" t="str">
        <x:v>compilation_table_verified_original_paper_not_archived</x:v>
      </x:c>
      <x:c r="Q33" s="22" t="str">
        <x:v>conditional_exploratory_pending_original_paper_audit</x:v>
      </x:c>
      <x:c r="R33" s="16" t="str">
        <x:v>retrospective_grouped_cv_pool</x:v>
      </x:c>
      <x:c r="S33" s="16" t="str">
        <x:v>COND:298.15K:0.30000000M</x:v>
      </x:c>
      <x:c r="T33" s="20" t="n">
        <x:v>1</x:v>
      </x:c>
      <x:c r="U33" s="16" t="str">
        <x:v>unique_state</x:v>
      </x:c>
      <x:c r="V33" s="22" t="str">
        <x:v>Grouped by the original bibliographic reference cited by Lobo.</x:v>
      </x:c>
    </x:row>
    <x:row r="34" ht="39.599998474121094" hidden="0" customHeight="1">
      <x:c r="A34" s="16" t="str">
        <x:v>F40316</x:v>
      </x:c>
      <x:c r="B34" s="16" t="str">
        <x:v>LiCl-H2O</x:v>
      </x:c>
      <x:c r="C34" s="17" t="n">
        <x:v>298.15</x:v>
      </x:c>
      <x:c r="D34" s="18" t="n">
        <x:v>0.5</x:v>
      </x:c>
      <x:c r="E34" s="19" t="n">
        <x:v>1.278</x:v>
      </x:c>
      <x:c r="F34" s="16" t="str">
        <x:v>BIB:LICL:LOBO1993:REF_084</x:v>
      </x:c>
      <x:c r="G34" s="16" t="str">
        <x:v>BIB:LICL:LOBO1993:REF_084</x:v>
      </x:c>
      <x:c r="H34" s="16" t="str">
        <x:v>bibliographic_original_study_via_compilation</x:v>
      </x:c>
      <x:c r="I34" s="16" t="str">
        <x:v>084</x:v>
      </x:c>
      <x:c r="J34" s="22" t="str">
        <x:v>R. H. Stokes, J. Am. Chem. Soc. 72, 2243 (1950)</x:v>
      </x:c>
      <x:c r="K34" s="22"/>
      <x:c r="L34" s="22" t="str">
        <x:v>lobo_1993 | V. M. M. Lobo (1993) | Pure and Applied Chemistry Table 1, ref. 84, PDF p. 14; directly tabulated value</x:v>
      </x:c>
      <x:c r="M34" s="16" t="str">
        <x:v>10.1351/pac199365122613</x:v>
      </x:c>
      <x:c r="N34" s="16" t="str">
        <x:v>data_source/lobo_1993.pdf</x:v>
      </x:c>
      <x:c r="O34" s="22" t="str">
        <x:v>Lobo 1993 Table 1, PDF p.14; bibliography ref.84, PDF p.27</x:v>
      </x:c>
      <x:c r="P34" s="22" t="str">
        <x:v>compilation_table_verified_original_paper_not_archived</x:v>
      </x:c>
      <x:c r="Q34" s="22" t="str">
        <x:v>conditional_exploratory_pending_original_paper_audit</x:v>
      </x:c>
      <x:c r="R34" s="16" t="str">
        <x:v>retrospective_grouped_cv_pool</x:v>
      </x:c>
      <x:c r="S34" s="16" t="str">
        <x:v>COND:298.15K:0.50000000M</x:v>
      </x:c>
      <x:c r="T34" s="20" t="n">
        <x:v>3</x:v>
      </x:c>
      <x:c r="U34" s="16" t="str">
        <x:v>review_same_state</x:v>
      </x:c>
      <x:c r="V34" s="22" t="str">
        <x:v>Grouped by the original bibliographic reference cited by Lobo.</x:v>
      </x:c>
    </x:row>
    <x:row r="35" ht="39.599998474121094" hidden="0" customHeight="1">
      <x:c r="A35" s="16" t="str">
        <x:v>F40317</x:v>
      </x:c>
      <x:c r="B35" s="16" t="str">
        <x:v>LiCl-H2O</x:v>
      </x:c>
      <x:c r="C35" s="17" t="n">
        <x:v>298.15</x:v>
      </x:c>
      <x:c r="D35" s="18" t="n">
        <x:v>0.7</x:v>
      </x:c>
      <x:c r="E35" s="19" t="n">
        <x:v>1.288</x:v>
      </x:c>
      <x:c r="F35" s="16" t="str">
        <x:v>BIB:LICL:LOBO1993:REF_084</x:v>
      </x:c>
      <x:c r="G35" s="16" t="str">
        <x:v>BIB:LICL:LOBO1993:REF_084</x:v>
      </x:c>
      <x:c r="H35" s="16" t="str">
        <x:v>bibliographic_original_study_via_compilation</x:v>
      </x:c>
      <x:c r="I35" s="16" t="str">
        <x:v>084</x:v>
      </x:c>
      <x:c r="J35" s="22" t="str">
        <x:v>R. H. Stokes, J. Am. Chem. Soc. 72, 2243 (1950)</x:v>
      </x:c>
      <x:c r="K35" s="22"/>
      <x:c r="L35" s="22" t="str">
        <x:v>lobo_1993 | V. M. M. Lobo (1993) | Pure and Applied Chemistry Table 1, ref. 84, PDF p. 14; directly tabulated value</x:v>
      </x:c>
      <x:c r="M35" s="16" t="str">
        <x:v>10.1351/pac199365122613</x:v>
      </x:c>
      <x:c r="N35" s="16" t="str">
        <x:v>data_source/lobo_1993.pdf</x:v>
      </x:c>
      <x:c r="O35" s="22" t="str">
        <x:v>Lobo 1993 Table 1, PDF p.14; bibliography ref.84, PDF p.27</x:v>
      </x:c>
      <x:c r="P35" s="22" t="str">
        <x:v>compilation_table_verified_original_paper_not_archived</x:v>
      </x:c>
      <x:c r="Q35" s="22" t="str">
        <x:v>conditional_exploratory_pending_original_paper_audit</x:v>
      </x:c>
      <x:c r="R35" s="16" t="str">
        <x:v>retrospective_grouped_cv_pool</x:v>
      </x:c>
      <x:c r="S35" s="16" t="str">
        <x:v>COND:298.15K:0.70000000M</x:v>
      </x:c>
      <x:c r="T35" s="20" t="n">
        <x:v>1</x:v>
      </x:c>
      <x:c r="U35" s="16" t="str">
        <x:v>unique_state</x:v>
      </x:c>
      <x:c r="V35" s="22" t="str">
        <x:v>Grouped by the original bibliographic reference cited by Lobo.</x:v>
      </x:c>
    </x:row>
    <x:row r="36" ht="39.599998474121094" hidden="0" customHeight="1">
      <x:c r="A36" s="16" t="str">
        <x:v>F40318</x:v>
      </x:c>
      <x:c r="B36" s="16" t="str">
        <x:v>LiCl-H2O</x:v>
      </x:c>
      <x:c r="C36" s="17" t="n">
        <x:v>298.15</x:v>
      </x:c>
      <x:c r="D36" s="18" t="n">
        <x:v>1</x:v>
      </x:c>
      <x:c r="E36" s="19" t="n">
        <x:v>1.302</x:v>
      </x:c>
      <x:c r="F36" s="16" t="str">
        <x:v>BIB:LICL:LOBO1993:REF_084</x:v>
      </x:c>
      <x:c r="G36" s="16" t="str">
        <x:v>BIB:LICL:LOBO1993:REF_084</x:v>
      </x:c>
      <x:c r="H36" s="16" t="str">
        <x:v>bibliographic_original_study_via_compilation</x:v>
      </x:c>
      <x:c r="I36" s="16" t="str">
        <x:v>084</x:v>
      </x:c>
      <x:c r="J36" s="22" t="str">
        <x:v>R. H. Stokes, J. Am. Chem. Soc. 72, 2243 (1950)</x:v>
      </x:c>
      <x:c r="K36" s="22"/>
      <x:c r="L36" s="22" t="str">
        <x:v>lobo_1993 | V. M. M. Lobo (1993) | Pure and Applied Chemistry Table 1, ref. 84, PDF p. 14; directly tabulated value</x:v>
      </x:c>
      <x:c r="M36" s="16" t="str">
        <x:v>10.1351/pac199365122613</x:v>
      </x:c>
      <x:c r="N36" s="16" t="str">
        <x:v>data_source/lobo_1993.pdf</x:v>
      </x:c>
      <x:c r="O36" s="22" t="str">
        <x:v>Lobo 1993 Table 1, PDF p.14; bibliography ref.84, PDF p.27</x:v>
      </x:c>
      <x:c r="P36" s="22" t="str">
        <x:v>compilation_table_verified_original_paper_not_archived</x:v>
      </x:c>
      <x:c r="Q36" s="22" t="str">
        <x:v>conditional_exploratory_pending_original_paper_audit</x:v>
      </x:c>
      <x:c r="R36" s="16" t="str">
        <x:v>retrospective_grouped_cv_pool</x:v>
      </x:c>
      <x:c r="S36" s="16" t="str">
        <x:v>COND:298.15K:1.00000000M</x:v>
      </x:c>
      <x:c r="T36" s="20" t="n">
        <x:v>2</x:v>
      </x:c>
      <x:c r="U36" s="16" t="str">
        <x:v>review_same_state</x:v>
      </x:c>
      <x:c r="V36" s="22" t="str">
        <x:v>Grouped by the original bibliographic reference cited by Lobo.</x:v>
      </x:c>
    </x:row>
    <x:row r="37" ht="39.599998474121094" hidden="0" customHeight="1">
      <x:c r="A37" s="16" t="str">
        <x:v>F40319</x:v>
      </x:c>
      <x:c r="B37" s="16" t="str">
        <x:v>LiCl-H2O</x:v>
      </x:c>
      <x:c r="C37" s="17" t="n">
        <x:v>298.15</x:v>
      </x:c>
      <x:c r="D37" s="18" t="n">
        <x:v>1.5</x:v>
      </x:c>
      <x:c r="E37" s="19" t="n">
        <x:v>1.331</x:v>
      </x:c>
      <x:c r="F37" s="16" t="str">
        <x:v>BIB:LICL:LOBO1993:REF_084</x:v>
      </x:c>
      <x:c r="G37" s="16" t="str">
        <x:v>BIB:LICL:LOBO1993:REF_084</x:v>
      </x:c>
      <x:c r="H37" s="16" t="str">
        <x:v>bibliographic_original_study_via_compilation</x:v>
      </x:c>
      <x:c r="I37" s="16" t="str">
        <x:v>084</x:v>
      </x:c>
      <x:c r="J37" s="22" t="str">
        <x:v>R. H. Stokes, J. Am. Chem. Soc. 72, 2243 (1950)</x:v>
      </x:c>
      <x:c r="K37" s="22"/>
      <x:c r="L37" s="22" t="str">
        <x:v>lobo_1993 | V. M. M. Lobo (1993) | Pure and Applied Chemistry Table 1, ref. 84, PDF p. 14; directly tabulated value</x:v>
      </x:c>
      <x:c r="M37" s="16" t="str">
        <x:v>10.1351/pac199365122613</x:v>
      </x:c>
      <x:c r="N37" s="16" t="str">
        <x:v>data_source/lobo_1993.pdf</x:v>
      </x:c>
      <x:c r="O37" s="22" t="str">
        <x:v>Lobo 1993 Table 1, PDF p.14; bibliography ref.84, PDF p.27</x:v>
      </x:c>
      <x:c r="P37" s="22" t="str">
        <x:v>compilation_table_verified_original_paper_not_archived</x:v>
      </x:c>
      <x:c r="Q37" s="22" t="str">
        <x:v>conditional_exploratory_pending_original_paper_audit</x:v>
      </x:c>
      <x:c r="R37" s="16" t="str">
        <x:v>retrospective_grouped_cv_pool</x:v>
      </x:c>
      <x:c r="S37" s="16" t="str">
        <x:v>COND:298.15K:1.50000000M</x:v>
      </x:c>
      <x:c r="T37" s="20" t="n">
        <x:v>2</x:v>
      </x:c>
      <x:c r="U37" s="16" t="str">
        <x:v>review_same_state</x:v>
      </x:c>
      <x:c r="V37" s="22" t="str">
        <x:v>Grouped by the original bibliographic reference cited by Lobo.</x:v>
      </x:c>
    </x:row>
    <x:row r="38" ht="39.599998474121094" hidden="0" customHeight="1">
      <x:c r="A38" s="16" t="str">
        <x:v>F40320</x:v>
      </x:c>
      <x:c r="B38" s="16" t="str">
        <x:v>LiCl-H2O</x:v>
      </x:c>
      <x:c r="C38" s="17" t="n">
        <x:v>298.15</x:v>
      </x:c>
      <x:c r="D38" s="18" t="n">
        <x:v>2</x:v>
      </x:c>
      <x:c r="E38" s="19" t="n">
        <x:v>1.363</x:v>
      </x:c>
      <x:c r="F38" s="16" t="str">
        <x:v>BIB:LICL:LOBO1993:REF_084</x:v>
      </x:c>
      <x:c r="G38" s="16" t="str">
        <x:v>BIB:LICL:LOBO1993:REF_084</x:v>
      </x:c>
      <x:c r="H38" s="16" t="str">
        <x:v>bibliographic_original_study_via_compilation</x:v>
      </x:c>
      <x:c r="I38" s="16" t="str">
        <x:v>084</x:v>
      </x:c>
      <x:c r="J38" s="22" t="str">
        <x:v>R. H. Stokes, J. Am. Chem. Soc. 72, 2243 (1950)</x:v>
      </x:c>
      <x:c r="K38" s="22"/>
      <x:c r="L38" s="22" t="str">
        <x:v>lobo_1993 | V. M. M. Lobo (1993) | Pure and Applied Chemistry Table 1, ref. 84, PDF p. 14; directly tabulated value</x:v>
      </x:c>
      <x:c r="M38" s="16" t="str">
        <x:v>10.1351/pac199365122613</x:v>
      </x:c>
      <x:c r="N38" s="16" t="str">
        <x:v>data_source/lobo_1993.pdf</x:v>
      </x:c>
      <x:c r="O38" s="22" t="str">
        <x:v>Lobo 1993 Table 1, PDF p.14; bibliography ref.84, PDF p.27</x:v>
      </x:c>
      <x:c r="P38" s="22" t="str">
        <x:v>compilation_table_verified_original_paper_not_archived</x:v>
      </x:c>
      <x:c r="Q38" s="22" t="str">
        <x:v>conditional_exploratory_pending_original_paper_audit</x:v>
      </x:c>
      <x:c r="R38" s="16" t="str">
        <x:v>retrospective_grouped_cv_pool</x:v>
      </x:c>
      <x:c r="S38" s="16" t="str">
        <x:v>COND:298.15K:2.00000000M</x:v>
      </x:c>
      <x:c r="T38" s="20" t="n">
        <x:v>2</x:v>
      </x:c>
      <x:c r="U38" s="16" t="str">
        <x:v>review_same_state</x:v>
      </x:c>
      <x:c r="V38" s="22" t="str">
        <x:v>Grouped by the original bibliographic reference cited by Lobo.</x:v>
      </x:c>
    </x:row>
    <x:row r="39" ht="39.599998474121094" hidden="0" customHeight="1">
      <x:c r="A39" s="16" t="str">
        <x:v>F40321</x:v>
      </x:c>
      <x:c r="B39" s="16" t="str">
        <x:v>LiCl-H2O</x:v>
      </x:c>
      <x:c r="C39" s="17" t="n">
        <x:v>298.15</x:v>
      </x:c>
      <x:c r="D39" s="18" t="n">
        <x:v>2.5</x:v>
      </x:c>
      <x:c r="E39" s="19" t="n">
        <x:v>1.397</x:v>
      </x:c>
      <x:c r="F39" s="16" t="str">
        <x:v>BIB:LICL:LOBO1993:REF_084</x:v>
      </x:c>
      <x:c r="G39" s="16" t="str">
        <x:v>BIB:LICL:LOBO1993:REF_084</x:v>
      </x:c>
      <x:c r="H39" s="16" t="str">
        <x:v>bibliographic_original_study_via_compilation</x:v>
      </x:c>
      <x:c r="I39" s="16" t="str">
        <x:v>084</x:v>
      </x:c>
      <x:c r="J39" s="22" t="str">
        <x:v>R. H. Stokes, J. Am. Chem. Soc. 72, 2243 (1950)</x:v>
      </x:c>
      <x:c r="K39" s="22"/>
      <x:c r="L39" s="22" t="str">
        <x:v>lobo_1993 | V. M. M. Lobo (1993) | Pure and Applied Chemistry Table 1, ref. 84, PDF p. 14; directly tabulated value</x:v>
      </x:c>
      <x:c r="M39" s="16" t="str">
        <x:v>10.1351/pac199365122613</x:v>
      </x:c>
      <x:c r="N39" s="16" t="str">
        <x:v>data_source/lobo_1993.pdf</x:v>
      </x:c>
      <x:c r="O39" s="22" t="str">
        <x:v>Lobo 1993 Table 1, PDF p.14; bibliography ref.84, PDF p.27</x:v>
      </x:c>
      <x:c r="P39" s="22" t="str">
        <x:v>compilation_table_verified_original_paper_not_archived</x:v>
      </x:c>
      <x:c r="Q39" s="22" t="str">
        <x:v>conditional_exploratory_pending_original_paper_audit</x:v>
      </x:c>
      <x:c r="R39" s="16" t="str">
        <x:v>retrospective_grouped_cv_pool</x:v>
      </x:c>
      <x:c r="S39" s="16" t="str">
        <x:v>COND:298.15K:2.50000000M</x:v>
      </x:c>
      <x:c r="T39" s="20" t="n">
        <x:v>2</x:v>
      </x:c>
      <x:c r="U39" s="16" t="str">
        <x:v>review_same_state</x:v>
      </x:c>
      <x:c r="V39" s="22" t="str">
        <x:v>Grouped by the original bibliographic reference cited by Lobo.</x:v>
      </x:c>
    </x:row>
    <x:row r="40" ht="39.599998474121094" hidden="0" customHeight="1">
      <x:c r="A40" s="16" t="str">
        <x:v>F40322</x:v>
      </x:c>
      <x:c r="B40" s="16" t="str">
        <x:v>LiCl-H2O</x:v>
      </x:c>
      <x:c r="C40" s="17" t="n">
        <x:v>298.15</x:v>
      </x:c>
      <x:c r="D40" s="18" t="n">
        <x:v>3</x:v>
      </x:c>
      <x:c r="E40" s="19" t="n">
        <x:v>1.43</x:v>
      </x:c>
      <x:c r="F40" s="16" t="str">
        <x:v>BIB:LICL:LOBO1993:REF_084</x:v>
      </x:c>
      <x:c r="G40" s="16" t="str">
        <x:v>BIB:LICL:LOBO1993:REF_084</x:v>
      </x:c>
      <x:c r="H40" s="16" t="str">
        <x:v>bibliographic_original_study_via_compilation</x:v>
      </x:c>
      <x:c r="I40" s="16" t="str">
        <x:v>084</x:v>
      </x:c>
      <x:c r="J40" s="22" t="str">
        <x:v>R. H. Stokes, J. Am. Chem. Soc. 72, 2243 (1950)</x:v>
      </x:c>
      <x:c r="K40" s="22"/>
      <x:c r="L40" s="22" t="str">
        <x:v>lobo_1993 | V. M. M. Lobo (1993) | Pure and Applied Chemistry Table 1, ref. 84, PDF p. 14; directly tabulated value</x:v>
      </x:c>
      <x:c r="M40" s="16" t="str">
        <x:v>10.1351/pac199365122613</x:v>
      </x:c>
      <x:c r="N40" s="16" t="str">
        <x:v>data_source/lobo_1993.pdf</x:v>
      </x:c>
      <x:c r="O40" s="22" t="str">
        <x:v>Lobo 1993 Table 1, PDF p.14; bibliography ref.84, PDF p.27</x:v>
      </x:c>
      <x:c r="P40" s="22" t="str">
        <x:v>compilation_table_verified_original_paper_not_archived</x:v>
      </x:c>
      <x:c r="Q40" s="22" t="str">
        <x:v>conditional_exploratory_pending_original_paper_audit</x:v>
      </x:c>
      <x:c r="R40" s="16" t="str">
        <x:v>retrospective_grouped_cv_pool</x:v>
      </x:c>
      <x:c r="S40" s="16" t="str">
        <x:v>COND:298.15K:3.00000000M</x:v>
      </x:c>
      <x:c r="T40" s="20" t="n">
        <x:v>2</x:v>
      </x:c>
      <x:c r="U40" s="16" t="str">
        <x:v>review_same_state</x:v>
      </x:c>
      <x:c r="V40" s="22" t="str">
        <x:v>Grouped by the original bibliographic reference cited by Lobo.</x:v>
      </x:c>
    </x:row>
    <x:row r="41" ht="39.599998474121094" hidden="0" customHeight="1">
      <x:c r="A41" s="16" t="str">
        <x:v>F40323</x:v>
      </x:c>
      <x:c r="B41" s="16" t="str">
        <x:v>LiCl-H2O</x:v>
      </x:c>
      <x:c r="C41" s="17" t="n">
        <x:v>298.15</x:v>
      </x:c>
      <x:c r="D41" s="18" t="n">
        <x:v>3.5</x:v>
      </x:c>
      <x:c r="E41" s="19" t="n">
        <x:v>1.464</x:v>
      </x:c>
      <x:c r="F41" s="16" t="str">
        <x:v>BIB:LICL:LOBO1993:REF_084</x:v>
      </x:c>
      <x:c r="G41" s="16" t="str">
        <x:v>BIB:LICL:LOBO1993:REF_084</x:v>
      </x:c>
      <x:c r="H41" s="16" t="str">
        <x:v>bibliographic_original_study_via_compilation</x:v>
      </x:c>
      <x:c r="I41" s="16" t="str">
        <x:v>084</x:v>
      </x:c>
      <x:c r="J41" s="22" t="str">
        <x:v>R. H. Stokes, J. Am. Chem. Soc. 72, 2243 (1950)</x:v>
      </x:c>
      <x:c r="K41" s="22"/>
      <x:c r="L41" s="22" t="str">
        <x:v>lobo_1993 | V. M. M. Lobo (1993) | Pure and Applied Chemistry Table 1, ref. 84, PDF p. 14; directly tabulated value</x:v>
      </x:c>
      <x:c r="M41" s="16" t="str">
        <x:v>10.1351/pac199365122613</x:v>
      </x:c>
      <x:c r="N41" s="16" t="str">
        <x:v>data_source/lobo_1993.pdf</x:v>
      </x:c>
      <x:c r="O41" s="22" t="str">
        <x:v>Lobo 1993 Table 1, PDF p.14; bibliography ref.84, PDF p.27</x:v>
      </x:c>
      <x:c r="P41" s="22" t="str">
        <x:v>compilation_table_verified_original_paper_not_archived</x:v>
      </x:c>
      <x:c r="Q41" s="22" t="str">
        <x:v>conditional_exploratory_pending_original_paper_audit</x:v>
      </x:c>
      <x:c r="R41" s="16" t="str">
        <x:v>retrospective_grouped_cv_pool</x:v>
      </x:c>
      <x:c r="S41" s="16" t="str">
        <x:v>COND:298.15K:3.50000000M</x:v>
      </x:c>
      <x:c r="T41" s="20" t="n">
        <x:v>1</x:v>
      </x:c>
      <x:c r="U41" s="16" t="str">
        <x:v>unique_state</x:v>
      </x:c>
      <x:c r="V41" s="22" t="str">
        <x:v>Grouped by the original bibliographic reference cited by Lobo.</x:v>
      </x:c>
    </x:row>
    <x:row r="42" ht="39.599998474121094" hidden="0" customHeight="1">
      <x:c r="A42" s="16" t="str">
        <x:v>F40309</x:v>
      </x:c>
      <x:c r="B42" s="16" t="str">
        <x:v>LiCl-H2O</x:v>
      </x:c>
      <x:c r="C42" s="17" t="n">
        <x:v>298.15</x:v>
      </x:c>
      <x:c r="D42" s="18" t="n">
        <x:v>0.1</x:v>
      </x:c>
      <x:c r="E42" s="19" t="n">
        <x:v>1.148</x:v>
      </x:c>
      <x:c r="F42" s="16" t="str">
        <x:v>BIB:LICL:LOBO1993:REF_086</x:v>
      </x:c>
      <x:c r="G42" s="16" t="str">
        <x:v>BIB:LICL:LOBO1993:REF_086</x:v>
      </x:c>
      <x:c r="H42" s="16" t="str">
        <x:v>bibliographic_original_study_via_compilation</x:v>
      </x:c>
      <x:c r="I42" s="16" t="str">
        <x:v>086</x:v>
      </x:c>
      <x:c r="J42" s="22" t="str">
        <x:v>J. R. Vinograd &amp; J. W. McBain, J. Am. Chem. Soc. 63, 2008 (1941)</x:v>
      </x:c>
      <x:c r="K42" s="22"/>
      <x:c r="L42" s="22" t="str">
        <x:v>lobo_1993 | V. M. M. Lobo (1993) | Pure and Applied Chemistry Table 1, ref. 86, PDF p. 14; directly tabulated value</x:v>
      </x:c>
      <x:c r="M42" s="16" t="str">
        <x:v>10.1351/pac199365122613</x:v>
      </x:c>
      <x:c r="N42" s="16" t="str">
        <x:v>data_source/lobo_1993.pdf</x:v>
      </x:c>
      <x:c r="O42" s="22" t="str">
        <x:v>Lobo 1993 Table 1, PDF p.14; bibliography ref.86, PDF p.27</x:v>
      </x:c>
      <x:c r="P42" s="22" t="str">
        <x:v>compilation_table_verified_original_paper_not_archived</x:v>
      </x:c>
      <x:c r="Q42" s="22" t="str">
        <x:v>conditional_exploratory_pending_original_paper_audit</x:v>
      </x:c>
      <x:c r="R42" s="16" t="str">
        <x:v>retrospective_grouped_cv_pool</x:v>
      </x:c>
      <x:c r="S42" s="16" t="str">
        <x:v>COND:298.15K:0.10000000M</x:v>
      </x:c>
      <x:c r="T42" s="20" t="n">
        <x:v>3</x:v>
      </x:c>
      <x:c r="U42" s="16" t="str">
        <x:v>review_same_state</x:v>
      </x:c>
      <x:c r="V42" s="22" t="str">
        <x:v>Grouped by the original bibliographic reference cited by Lobo.</x:v>
      </x:c>
    </x:row>
    <x:row r="43" ht="39.599998474121094" hidden="0" customHeight="1">
      <x:c r="A43" s="16" t="str">
        <x:v>F40310</x:v>
      </x:c>
      <x:c r="B43" s="16" t="str">
        <x:v>LiCl-H2O</x:v>
      </x:c>
      <x:c r="C43" s="17" t="n">
        <x:v>298.15</x:v>
      </x:c>
      <x:c r="D43" s="18" t="n">
        <x:v>0.5</x:v>
      </x:c>
      <x:c r="E43" s="19" t="n">
        <x:v>1.136</x:v>
      </x:c>
      <x:c r="F43" s="16" t="str">
        <x:v>BIB:LICL:LOBO1993:REF_086</x:v>
      </x:c>
      <x:c r="G43" s="16" t="str">
        <x:v>BIB:LICL:LOBO1993:REF_086</x:v>
      </x:c>
      <x:c r="H43" s="16" t="str">
        <x:v>bibliographic_original_study_via_compilation</x:v>
      </x:c>
      <x:c r="I43" s="16" t="str">
        <x:v>086</x:v>
      </x:c>
      <x:c r="J43" s="22" t="str">
        <x:v>J. R. Vinograd &amp; J. W. McBain, J. Am. Chem. Soc. 63, 2008 (1941)</x:v>
      </x:c>
      <x:c r="K43" s="22"/>
      <x:c r="L43" s="22" t="str">
        <x:v>lobo_1993 | V. M. M. Lobo (1993) | Pure and Applied Chemistry Table 1, ref. 86, PDF p. 14; directly tabulated value</x:v>
      </x:c>
      <x:c r="M43" s="16" t="str">
        <x:v>10.1351/pac199365122613</x:v>
      </x:c>
      <x:c r="N43" s="16" t="str">
        <x:v>data_source/lobo_1993.pdf</x:v>
      </x:c>
      <x:c r="O43" s="22" t="str">
        <x:v>Lobo 1993 Table 1, PDF p.14; bibliography ref.86, PDF p.27</x:v>
      </x:c>
      <x:c r="P43" s="22" t="str">
        <x:v>compilation_table_verified_original_paper_not_archived</x:v>
      </x:c>
      <x:c r="Q43" s="22" t="str">
        <x:v>conditional_exploratory_pending_original_paper_audit</x:v>
      </x:c>
      <x:c r="R43" s="16" t="str">
        <x:v>retrospective_grouped_cv_pool</x:v>
      </x:c>
      <x:c r="S43" s="16" t="str">
        <x:v>COND:298.15K:0.50000000M</x:v>
      </x:c>
      <x:c r="T43" s="20" t="n">
        <x:v>3</x:v>
      </x:c>
      <x:c r="U43" s="16" t="str">
        <x:v>review_same_state</x:v>
      </x:c>
      <x:c r="V43" s="22" t="str">
        <x:v>Grouped by the original bibliographic reference cited by Lobo.</x:v>
      </x:c>
    </x:row>
    <x:row r="44" ht="39.599998474121094" hidden="0" customHeight="1">
      <x:c r="A44" s="16" t="str">
        <x:v>F40311</x:v>
      </x:c>
      <x:c r="B44" s="16" t="str">
        <x:v>LiCl-H2O</x:v>
      </x:c>
      <x:c r="C44" s="17" t="n">
        <x:v>298.15</x:v>
      </x:c>
      <x:c r="D44" s="18" t="n">
        <x:v>1</x:v>
      </x:c>
      <x:c r="E44" s="19" t="n">
        <x:v>1.147</x:v>
      </x:c>
      <x:c r="F44" s="16" t="str">
        <x:v>BIB:LICL:LOBO1993:REF_086</x:v>
      </x:c>
      <x:c r="G44" s="16" t="str">
        <x:v>BIB:LICL:LOBO1993:REF_086</x:v>
      </x:c>
      <x:c r="H44" s="16" t="str">
        <x:v>bibliographic_original_study_via_compilation</x:v>
      </x:c>
      <x:c r="I44" s="16" t="str">
        <x:v>086</x:v>
      </x:c>
      <x:c r="J44" s="22" t="str">
        <x:v>J. R. Vinograd &amp; J. W. McBain, J. Am. Chem. Soc. 63, 2008 (1941)</x:v>
      </x:c>
      <x:c r="K44" s="22"/>
      <x:c r="L44" s="22" t="str">
        <x:v>lobo_1993 | V. M. M. Lobo (1993) | Pure and Applied Chemistry Table 1, ref. 86, PDF p. 14; directly tabulated value</x:v>
      </x:c>
      <x:c r="M44" s="16" t="str">
        <x:v>10.1351/pac199365122613</x:v>
      </x:c>
      <x:c r="N44" s="16" t="str">
        <x:v>data_source/lobo_1993.pdf</x:v>
      </x:c>
      <x:c r="O44" s="22" t="str">
        <x:v>Lobo 1993 Table 1, PDF p.14; bibliography ref.86, PDF p.27</x:v>
      </x:c>
      <x:c r="P44" s="22" t="str">
        <x:v>compilation_table_verified_original_paper_not_archived</x:v>
      </x:c>
      <x:c r="Q44" s="22" t="str">
        <x:v>conditional_exploratory_pending_original_paper_audit</x:v>
      </x:c>
      <x:c r="R44" s="16" t="str">
        <x:v>retrospective_grouped_cv_pool</x:v>
      </x:c>
      <x:c r="S44" s="16" t="str">
        <x:v>COND:298.15K:1.00000000M</x:v>
      </x:c>
      <x:c r="T44" s="20" t="n">
        <x:v>2</x:v>
      </x:c>
      <x:c r="U44" s="16" t="str">
        <x:v>review_same_state</x:v>
      </x:c>
      <x:c r="V44" s="22" t="str">
        <x:v>Grouped by the original bibliographic reference cited by Lobo.</x:v>
      </x:c>
    </x:row>
    <x:row r="45" ht="39.599998474121094" hidden="0" customHeight="1">
      <x:c r="A45" s="16" t="str">
        <x:v>F40269</x:v>
      </x:c>
      <x:c r="B45" s="16" t="str">
        <x:v>LiCl-H2O</x:v>
      </x:c>
      <x:c r="C45" s="17" t="n">
        <x:v>273.15</x:v>
      </x:c>
      <x:c r="D45" s="18" t="n">
        <x:v>0.1975</x:v>
      </x:c>
      <x:c r="E45" s="19" t="n">
        <x:v>0.59</x:v>
      </x:c>
      <x:c r="F45" s="16" t="str">
        <x:v>BIB:LICL:LOBO1993:REF_087</x:v>
      </x:c>
      <x:c r="G45" s="16" t="str">
        <x:v>BIB:LICL:LOBO1993:REF_087</x:v>
      </x:c>
      <x:c r="H45" s="16" t="str">
        <x:v>bibliographic_original_study_via_compilation</x:v>
      </x:c>
      <x:c r="I45" s="16" t="str">
        <x:v>087</x:v>
      </x:c>
      <x:c r="J45" s="22" t="str">
        <x:v>V. Vitagliano, Gazz. Chim. Ital. 90, 876 (1960)</x:v>
      </x:c>
      <x:c r="K45" s="22"/>
      <x:c r="L45" s="22" t="str">
        <x:v>lobo_1993 | V. M. M. Lobo (1993) | Pure and Applied Chemistry Table 1, ref. 87, PDF p. 13; directly tabulated value</x:v>
      </x:c>
      <x:c r="M45" s="16" t="str">
        <x:v>10.1351/pac199365122613</x:v>
      </x:c>
      <x:c r="N45" s="16" t="str">
        <x:v>data_source/lobo_1993.pdf</x:v>
      </x:c>
      <x:c r="O45" s="22" t="str">
        <x:v>Lobo 1993 Table 1, PDF pp.13–14; bibliography ref.87, PDF p.27</x:v>
      </x:c>
      <x:c r="P45" s="22" t="str">
        <x:v>compilation_table_verified_original_paper_not_archived</x:v>
      </x:c>
      <x:c r="Q45" s="22" t="str">
        <x:v>conditional_exploratory_pending_original_paper_audit</x:v>
      </x:c>
      <x:c r="R45" s="16" t="str">
        <x:v>retrospective_grouped_cv_pool</x:v>
      </x:c>
      <x:c r="S45" s="16" t="str">
        <x:v>COND:273.15K:0.19750000M</x:v>
      </x:c>
      <x:c r="T45" s="20" t="n">
        <x:v>1</x:v>
      </x:c>
      <x:c r="U45" s="16" t="str">
        <x:v>unique_state</x:v>
      </x:c>
      <x:c r="V45" s="22" t="str">
        <x:v>Lobo PDF pp.13–14 belong to the same original paper and are merged.</x:v>
      </x:c>
    </x:row>
    <x:row r="46" ht="39.599998474121094" hidden="0" customHeight="1">
      <x:c r="A46" s="16" t="str">
        <x:v>F40270</x:v>
      </x:c>
      <x:c r="B46" s="16" t="str">
        <x:v>LiCl-H2O</x:v>
      </x:c>
      <x:c r="C46" s="17" t="n">
        <x:v>273.15</x:v>
      </x:c>
      <x:c r="D46" s="18" t="n">
        <x:v>0.1982</x:v>
      </x:c>
      <x:c r="E46" s="19" t="n">
        <x:v>0.588</x:v>
      </x:c>
      <x:c r="F46" s="16" t="str">
        <x:v>BIB:LICL:LOBO1993:REF_087</x:v>
      </x:c>
      <x:c r="G46" s="16" t="str">
        <x:v>BIB:LICL:LOBO1993:REF_087</x:v>
      </x:c>
      <x:c r="H46" s="16" t="str">
        <x:v>bibliographic_original_study_via_compilation</x:v>
      </x:c>
      <x:c r="I46" s="16" t="str">
        <x:v>087</x:v>
      </x:c>
      <x:c r="J46" s="22" t="str">
        <x:v>V. Vitagliano, Gazz. Chim. Ital. 90, 876 (1960)</x:v>
      </x:c>
      <x:c r="K46" s="22"/>
      <x:c r="L46" s="22" t="str">
        <x:v>lobo_1993 | V. M. M. Lobo (1993) | Pure and Applied Chemistry Table 1, ref. 87, PDF p. 13; directly tabulated value</x:v>
      </x:c>
      <x:c r="M46" s="16" t="str">
        <x:v>10.1351/pac199365122613</x:v>
      </x:c>
      <x:c r="N46" s="16" t="str">
        <x:v>data_source/lobo_1993.pdf</x:v>
      </x:c>
      <x:c r="O46" s="22" t="str">
        <x:v>Lobo 1993 Table 1, PDF pp.13–14; bibliography ref.87, PDF p.27</x:v>
      </x:c>
      <x:c r="P46" s="22" t="str">
        <x:v>compilation_table_verified_original_paper_not_archived</x:v>
      </x:c>
      <x:c r="Q46" s="22" t="str">
        <x:v>conditional_exploratory_pending_original_paper_audit</x:v>
      </x:c>
      <x:c r="R46" s="16" t="str">
        <x:v>retrospective_grouped_cv_pool</x:v>
      </x:c>
      <x:c r="S46" s="16" t="str">
        <x:v>COND:273.15K:0.19820000M</x:v>
      </x:c>
      <x:c r="T46" s="20" t="n">
        <x:v>1</x:v>
      </x:c>
      <x:c r="U46" s="16" t="str">
        <x:v>unique_state</x:v>
      </x:c>
      <x:c r="V46" s="22" t="str">
        <x:v>Lobo PDF pp.13–14 belong to the same original paper and are merged.</x:v>
      </x:c>
    </x:row>
    <x:row r="47" ht="39.599998474121094" hidden="0" customHeight="1">
      <x:c r="A47" s="16" t="str">
        <x:v>F40271</x:v>
      </x:c>
      <x:c r="B47" s="16" t="str">
        <x:v>LiCl-H2O</x:v>
      </x:c>
      <x:c r="C47" s="17" t="n">
        <x:v>273.15</x:v>
      </x:c>
      <x:c r="D47" s="18" t="n">
        <x:v>0.1991</x:v>
      </x:c>
      <x:c r="E47" s="19" t="n">
        <x:v>0.588</x:v>
      </x:c>
      <x:c r="F47" s="16" t="str">
        <x:v>BIB:LICL:LOBO1993:REF_087</x:v>
      </x:c>
      <x:c r="G47" s="16" t="str">
        <x:v>BIB:LICL:LOBO1993:REF_087</x:v>
      </x:c>
      <x:c r="H47" s="16" t="str">
        <x:v>bibliographic_original_study_via_compilation</x:v>
      </x:c>
      <x:c r="I47" s="16" t="str">
        <x:v>087</x:v>
      </x:c>
      <x:c r="J47" s="22" t="str">
        <x:v>V. Vitagliano, Gazz. Chim. Ital. 90, 876 (1960)</x:v>
      </x:c>
      <x:c r="K47" s="22"/>
      <x:c r="L47" s="22" t="str">
        <x:v>lobo_1993 | V. M. M. Lobo (1993) | Pure and Applied Chemistry Table 1, ref. 87, PDF p. 13; directly tabulated value</x:v>
      </x:c>
      <x:c r="M47" s="16" t="str">
        <x:v>10.1351/pac199365122613</x:v>
      </x:c>
      <x:c r="N47" s="16" t="str">
        <x:v>data_source/lobo_1993.pdf</x:v>
      </x:c>
      <x:c r="O47" s="22" t="str">
        <x:v>Lobo 1993 Table 1, PDF pp.13–14; bibliography ref.87, PDF p.27</x:v>
      </x:c>
      <x:c r="P47" s="22" t="str">
        <x:v>compilation_table_verified_original_paper_not_archived</x:v>
      </x:c>
      <x:c r="Q47" s="22" t="str">
        <x:v>conditional_exploratory_pending_original_paper_audit</x:v>
      </x:c>
      <x:c r="R47" s="16" t="str">
        <x:v>retrospective_grouped_cv_pool</x:v>
      </x:c>
      <x:c r="S47" s="16" t="str">
        <x:v>COND:273.15K:0.19910000M</x:v>
      </x:c>
      <x:c r="T47" s="20" t="n">
        <x:v>1</x:v>
      </x:c>
      <x:c r="U47" s="16" t="str">
        <x:v>unique_state</x:v>
      </x:c>
      <x:c r="V47" s="22" t="str">
        <x:v>Lobo PDF pp.13–14 belong to the same original paper and are merged.</x:v>
      </x:c>
    </x:row>
    <x:row r="48" ht="39.599998474121094" hidden="0" customHeight="1">
      <x:c r="A48" s="16" t="str">
        <x:v>F40272</x:v>
      </x:c>
      <x:c r="B48" s="16" t="str">
        <x:v>LiCl-H2O</x:v>
      </x:c>
      <x:c r="C48" s="17" t="n">
        <x:v>273.15</x:v>
      </x:c>
      <x:c r="D48" s="18" t="n">
        <x:v>0.3972</x:v>
      </x:c>
      <x:c r="E48" s="19" t="n">
        <x:v>0.597</x:v>
      </x:c>
      <x:c r="F48" s="16" t="str">
        <x:v>BIB:LICL:LOBO1993:REF_087</x:v>
      </x:c>
      <x:c r="G48" s="16" t="str">
        <x:v>BIB:LICL:LOBO1993:REF_087</x:v>
      </x:c>
      <x:c r="H48" s="16" t="str">
        <x:v>bibliographic_original_study_via_compilation</x:v>
      </x:c>
      <x:c r="I48" s="16" t="str">
        <x:v>087</x:v>
      </x:c>
      <x:c r="J48" s="22" t="str">
        <x:v>V. Vitagliano, Gazz. Chim. Ital. 90, 876 (1960)</x:v>
      </x:c>
      <x:c r="K48" s="22"/>
      <x:c r="L48" s="22" t="str">
        <x:v>lobo_1993 | V. M. M. Lobo (1993) | Pure and Applied Chemistry Table 1, ref. 87, PDF p. 13; directly tabulated value</x:v>
      </x:c>
      <x:c r="M48" s="16" t="str">
        <x:v>10.1351/pac199365122613</x:v>
      </x:c>
      <x:c r="N48" s="16" t="str">
        <x:v>data_source/lobo_1993.pdf</x:v>
      </x:c>
      <x:c r="O48" s="22" t="str">
        <x:v>Lobo 1993 Table 1, PDF pp.13–14; bibliography ref.87, PDF p.27</x:v>
      </x:c>
      <x:c r="P48" s="22" t="str">
        <x:v>compilation_table_verified_original_paper_not_archived</x:v>
      </x:c>
      <x:c r="Q48" s="22" t="str">
        <x:v>conditional_exploratory_pending_original_paper_audit</x:v>
      </x:c>
      <x:c r="R48" s="16" t="str">
        <x:v>retrospective_grouped_cv_pool</x:v>
      </x:c>
      <x:c r="S48" s="16" t="str">
        <x:v>COND:273.15K:0.39720000M</x:v>
      </x:c>
      <x:c r="T48" s="20" t="n">
        <x:v>1</x:v>
      </x:c>
      <x:c r="U48" s="16" t="str">
        <x:v>unique_state</x:v>
      </x:c>
      <x:c r="V48" s="22" t="str">
        <x:v>Lobo PDF pp.13–14 belong to the same original paper and are merged.</x:v>
      </x:c>
    </x:row>
    <x:row r="49" ht="39.599998474121094" hidden="0" customHeight="1">
      <x:c r="A49" s="16" t="str">
        <x:v>F40273</x:v>
      </x:c>
      <x:c r="B49" s="16" t="str">
        <x:v>LiCl-H2O</x:v>
      </x:c>
      <x:c r="C49" s="17" t="n">
        <x:v>273.15</x:v>
      </x:c>
      <x:c r="D49" s="18" t="n">
        <x:v>0.5063</x:v>
      </x:c>
      <x:c r="E49" s="19" t="n">
        <x:v>0.6</x:v>
      </x:c>
      <x:c r="F49" s="16" t="str">
        <x:v>BIB:LICL:LOBO1993:REF_087</x:v>
      </x:c>
      <x:c r="G49" s="16" t="str">
        <x:v>BIB:LICL:LOBO1993:REF_087</x:v>
      </x:c>
      <x:c r="H49" s="16" t="str">
        <x:v>bibliographic_original_study_via_compilation</x:v>
      </x:c>
      <x:c r="I49" s="16" t="str">
        <x:v>087</x:v>
      </x:c>
      <x:c r="J49" s="22" t="str">
        <x:v>V. Vitagliano, Gazz. Chim. Ital. 90, 876 (1960)</x:v>
      </x:c>
      <x:c r="K49" s="22"/>
      <x:c r="L49" s="22" t="str">
        <x:v>lobo_1993 | V. M. M. Lobo (1993) | Pure and Applied Chemistry Table 1, ref. 87, PDF p. 13; directly tabulated value</x:v>
      </x:c>
      <x:c r="M49" s="16" t="str">
        <x:v>10.1351/pac199365122613</x:v>
      </x:c>
      <x:c r="N49" s="16" t="str">
        <x:v>data_source/lobo_1993.pdf</x:v>
      </x:c>
      <x:c r="O49" s="22" t="str">
        <x:v>Lobo 1993 Table 1, PDF pp.13–14; bibliography ref.87, PDF p.27</x:v>
      </x:c>
      <x:c r="P49" s="22" t="str">
        <x:v>compilation_table_verified_original_paper_not_archived</x:v>
      </x:c>
      <x:c r="Q49" s="22" t="str">
        <x:v>conditional_exploratory_pending_original_paper_audit</x:v>
      </x:c>
      <x:c r="R49" s="16" t="str">
        <x:v>retrospective_grouped_cv_pool</x:v>
      </x:c>
      <x:c r="S49" s="16" t="str">
        <x:v>COND:273.15K:0.50630000M</x:v>
      </x:c>
      <x:c r="T49" s="20" t="n">
        <x:v>1</x:v>
      </x:c>
      <x:c r="U49" s="16" t="str">
        <x:v>unique_state</x:v>
      </x:c>
      <x:c r="V49" s="22" t="str">
        <x:v>Lobo PDF pp.13–14 belong to the same original paper and are merged.</x:v>
      </x:c>
    </x:row>
    <x:row r="50" ht="39.599998474121094" hidden="0" customHeight="1">
      <x:c r="A50" s="16" t="str">
        <x:v>F40274</x:v>
      </x:c>
      <x:c r="B50" s="16" t="str">
        <x:v>LiCl-H2O</x:v>
      </x:c>
      <x:c r="C50" s="17" t="n">
        <x:v>273.15</x:v>
      </x:c>
      <x:c r="D50" s="18" t="n">
        <x:v>0.5937</x:v>
      </x:c>
      <x:c r="E50" s="19" t="n">
        <x:v>0.604</x:v>
      </x:c>
      <x:c r="F50" s="16" t="str">
        <x:v>BIB:LICL:LOBO1993:REF_087</x:v>
      </x:c>
      <x:c r="G50" s="16" t="str">
        <x:v>BIB:LICL:LOBO1993:REF_087</x:v>
      </x:c>
      <x:c r="H50" s="16" t="str">
        <x:v>bibliographic_original_study_via_compilation</x:v>
      </x:c>
      <x:c r="I50" s="16" t="str">
        <x:v>087</x:v>
      </x:c>
      <x:c r="J50" s="22" t="str">
        <x:v>V. Vitagliano, Gazz. Chim. Ital. 90, 876 (1960)</x:v>
      </x:c>
      <x:c r="K50" s="22"/>
      <x:c r="L50" s="22" t="str">
        <x:v>lobo_1993 | V. M. M. Lobo (1993) | Pure and Applied Chemistry Table 1, ref. 87, PDF p. 13; directly tabulated value</x:v>
      </x:c>
      <x:c r="M50" s="16" t="str">
        <x:v>10.1351/pac199365122613</x:v>
      </x:c>
      <x:c r="N50" s="16" t="str">
        <x:v>data_source/lobo_1993.pdf</x:v>
      </x:c>
      <x:c r="O50" s="22" t="str">
        <x:v>Lobo 1993 Table 1, PDF pp.13–14; bibliography ref.87, PDF p.27</x:v>
      </x:c>
      <x:c r="P50" s="22" t="str">
        <x:v>compilation_table_verified_original_paper_not_archived</x:v>
      </x:c>
      <x:c r="Q50" s="22" t="str">
        <x:v>conditional_exploratory_pending_original_paper_audit</x:v>
      </x:c>
      <x:c r="R50" s="16" t="str">
        <x:v>retrospective_grouped_cv_pool</x:v>
      </x:c>
      <x:c r="S50" s="16" t="str">
        <x:v>COND:273.15K:0.59370000M</x:v>
      </x:c>
      <x:c r="T50" s="20" t="n">
        <x:v>1</x:v>
      </x:c>
      <x:c r="U50" s="16" t="str">
        <x:v>unique_state</x:v>
      </x:c>
      <x:c r="V50" s="22" t="str">
        <x:v>Lobo PDF pp.13–14 belong to the same original paper and are merged.</x:v>
      </x:c>
    </x:row>
    <x:row r="51" ht="39.599998474121094" hidden="0" customHeight="1">
      <x:c r="A51" s="16" t="str">
        <x:v>F40275</x:v>
      </x:c>
      <x:c r="B51" s="16" t="str">
        <x:v>LiCl-H2O</x:v>
      </x:c>
      <x:c r="C51" s="17" t="n">
        <x:v>273.15</x:v>
      </x:c>
      <x:c r="D51" s="18" t="n">
        <x:v>0.7586</x:v>
      </x:c>
      <x:c r="E51" s="19" t="n">
        <x:v>0.617</x:v>
      </x:c>
      <x:c r="F51" s="16" t="str">
        <x:v>BIB:LICL:LOBO1993:REF_087</x:v>
      </x:c>
      <x:c r="G51" s="16" t="str">
        <x:v>BIB:LICL:LOBO1993:REF_087</x:v>
      </x:c>
      <x:c r="H51" s="16" t="str">
        <x:v>bibliographic_original_study_via_compilation</x:v>
      </x:c>
      <x:c r="I51" s="16" t="str">
        <x:v>087</x:v>
      </x:c>
      <x:c r="J51" s="22" t="str">
        <x:v>V. Vitagliano, Gazz. Chim. Ital. 90, 876 (1960)</x:v>
      </x:c>
      <x:c r="K51" s="22"/>
      <x:c r="L51" s="22" t="str">
        <x:v>lobo_1993 | V. M. M. Lobo (1993) | Pure and Applied Chemistry Table 1, ref. 87, PDF p. 13; directly tabulated value</x:v>
      </x:c>
      <x:c r="M51" s="16" t="str">
        <x:v>10.1351/pac199365122613</x:v>
      </x:c>
      <x:c r="N51" s="16" t="str">
        <x:v>data_source/lobo_1993.pdf</x:v>
      </x:c>
      <x:c r="O51" s="22" t="str">
        <x:v>Lobo 1993 Table 1, PDF pp.13–14; bibliography ref.87, PDF p.27</x:v>
      </x:c>
      <x:c r="P51" s="22" t="str">
        <x:v>compilation_table_verified_original_paper_not_archived</x:v>
      </x:c>
      <x:c r="Q51" s="22" t="str">
        <x:v>conditional_exploratory_pending_original_paper_audit</x:v>
      </x:c>
      <x:c r="R51" s="16" t="str">
        <x:v>retrospective_grouped_cv_pool</x:v>
      </x:c>
      <x:c r="S51" s="16" t="str">
        <x:v>COND:273.15K:0.75860000M</x:v>
      </x:c>
      <x:c r="T51" s="20" t="n">
        <x:v>1</x:v>
      </x:c>
      <x:c r="U51" s="16" t="str">
        <x:v>unique_state</x:v>
      </x:c>
      <x:c r="V51" s="22" t="str">
        <x:v>Lobo PDF pp.13–14 belong to the same original paper and are merged.</x:v>
      </x:c>
    </x:row>
    <x:row r="52" ht="39.599998474121094" hidden="0" customHeight="1">
      <x:c r="A52" s="16" t="str">
        <x:v>F40276</x:v>
      </x:c>
      <x:c r="B52" s="16" t="str">
        <x:v>LiCl-H2O</x:v>
      </x:c>
      <x:c r="C52" s="17" t="n">
        <x:v>273.15</x:v>
      </x:c>
      <x:c r="D52" s="18" t="n">
        <x:v>0.7888</x:v>
      </x:c>
      <x:c r="E52" s="19" t="n">
        <x:v>0.617</x:v>
      </x:c>
      <x:c r="F52" s="16" t="str">
        <x:v>BIB:LICL:LOBO1993:REF_087</x:v>
      </x:c>
      <x:c r="G52" s="16" t="str">
        <x:v>BIB:LICL:LOBO1993:REF_087</x:v>
      </x:c>
      <x:c r="H52" s="16" t="str">
        <x:v>bibliographic_original_study_via_compilation</x:v>
      </x:c>
      <x:c r="I52" s="16" t="str">
        <x:v>087</x:v>
      </x:c>
      <x:c r="J52" s="22" t="str">
        <x:v>V. Vitagliano, Gazz. Chim. Ital. 90, 876 (1960)</x:v>
      </x:c>
      <x:c r="K52" s="22"/>
      <x:c r="L52" s="22" t="str">
        <x:v>lobo_1993 | V. M. M. Lobo (1993) | Pure and Applied Chemistry Table 1, ref. 87, PDF p. 13; directly tabulated value</x:v>
      </x:c>
      <x:c r="M52" s="16" t="str">
        <x:v>10.1351/pac199365122613</x:v>
      </x:c>
      <x:c r="N52" s="16" t="str">
        <x:v>data_source/lobo_1993.pdf</x:v>
      </x:c>
      <x:c r="O52" s="22" t="str">
        <x:v>Lobo 1993 Table 1, PDF pp.13–14; bibliography ref.87, PDF p.27</x:v>
      </x:c>
      <x:c r="P52" s="22" t="str">
        <x:v>compilation_table_verified_original_paper_not_archived</x:v>
      </x:c>
      <x:c r="Q52" s="22" t="str">
        <x:v>conditional_exploratory_pending_original_paper_audit</x:v>
      </x:c>
      <x:c r="R52" s="16" t="str">
        <x:v>retrospective_grouped_cv_pool</x:v>
      </x:c>
      <x:c r="S52" s="16" t="str">
        <x:v>COND:273.15K:0.78880000M</x:v>
      </x:c>
      <x:c r="T52" s="20" t="n">
        <x:v>1</x:v>
      </x:c>
      <x:c r="U52" s="16" t="str">
        <x:v>unique_state</x:v>
      </x:c>
      <x:c r="V52" s="22" t="str">
        <x:v>Lobo PDF pp.13–14 belong to the same original paper and are merged.</x:v>
      </x:c>
    </x:row>
    <x:row r="53" ht="39.599998474121094" hidden="0" customHeight="1">
      <x:c r="A53" s="16" t="str">
        <x:v>F40277</x:v>
      </x:c>
      <x:c r="B53" s="16" t="str">
        <x:v>LiCl-H2O</x:v>
      </x:c>
      <x:c r="C53" s="17" t="n">
        <x:v>273.15</x:v>
      </x:c>
      <x:c r="D53" s="18" t="n">
        <x:v>0.9825</x:v>
      </x:c>
      <x:c r="E53" s="19" t="n">
        <x:v>0.622</x:v>
      </x:c>
      <x:c r="F53" s="16" t="str">
        <x:v>BIB:LICL:LOBO1993:REF_087</x:v>
      </x:c>
      <x:c r="G53" s="16" t="str">
        <x:v>BIB:LICL:LOBO1993:REF_087</x:v>
      </x:c>
      <x:c r="H53" s="16" t="str">
        <x:v>bibliographic_original_study_via_compilation</x:v>
      </x:c>
      <x:c r="I53" s="16" t="str">
        <x:v>087</x:v>
      </x:c>
      <x:c r="J53" s="22" t="str">
        <x:v>V. Vitagliano, Gazz. Chim. Ital. 90, 876 (1960)</x:v>
      </x:c>
      <x:c r="K53" s="22"/>
      <x:c r="L53" s="22" t="str">
        <x:v>lobo_1993 | V. M. M. Lobo (1993) | Pure and Applied Chemistry Table 1, ref. 87, PDF p. 13; directly tabulated value</x:v>
      </x:c>
      <x:c r="M53" s="16" t="str">
        <x:v>10.1351/pac199365122613</x:v>
      </x:c>
      <x:c r="N53" s="16" t="str">
        <x:v>data_source/lobo_1993.pdf</x:v>
      </x:c>
      <x:c r="O53" s="22" t="str">
        <x:v>Lobo 1993 Table 1, PDF pp.13–14; bibliography ref.87, PDF p.27</x:v>
      </x:c>
      <x:c r="P53" s="22" t="str">
        <x:v>compilation_table_verified_original_paper_not_archived</x:v>
      </x:c>
      <x:c r="Q53" s="22" t="str">
        <x:v>conditional_exploratory_pending_original_paper_audit</x:v>
      </x:c>
      <x:c r="R53" s="16" t="str">
        <x:v>retrospective_grouped_cv_pool</x:v>
      </x:c>
      <x:c r="S53" s="16" t="str">
        <x:v>COND:273.15K:0.98250000M</x:v>
      </x:c>
      <x:c r="T53" s="20" t="n">
        <x:v>1</x:v>
      </x:c>
      <x:c r="U53" s="16" t="str">
        <x:v>unique_state</x:v>
      </x:c>
      <x:c r="V53" s="22" t="str">
        <x:v>Lobo PDF pp.13–14 belong to the same original paper and are merged.</x:v>
      </x:c>
    </x:row>
    <x:row r="54" ht="39.599998474121094" hidden="0" customHeight="1">
      <x:c r="A54" s="16" t="str">
        <x:v>F40278</x:v>
      </x:c>
      <x:c r="B54" s="16" t="str">
        <x:v>LiCl-H2O</x:v>
      </x:c>
      <x:c r="C54" s="17" t="n">
        <x:v>273.15</x:v>
      </x:c>
      <x:c r="D54" s="18" t="n">
        <x:v>0.9826</x:v>
      </x:c>
      <x:c r="E54" s="19" t="n">
        <x:v>0.626</x:v>
      </x:c>
      <x:c r="F54" s="16" t="str">
        <x:v>BIB:LICL:LOBO1993:REF_087</x:v>
      </x:c>
      <x:c r="G54" s="16" t="str">
        <x:v>BIB:LICL:LOBO1993:REF_087</x:v>
      </x:c>
      <x:c r="H54" s="16" t="str">
        <x:v>bibliographic_original_study_via_compilation</x:v>
      </x:c>
      <x:c r="I54" s="16" t="str">
        <x:v>087</x:v>
      </x:c>
      <x:c r="J54" s="22" t="str">
        <x:v>V. Vitagliano, Gazz. Chim. Ital. 90, 876 (1960)</x:v>
      </x:c>
      <x:c r="K54" s="22"/>
      <x:c r="L54" s="22" t="str">
        <x:v>lobo_1993 | V. M. M. Lobo (1993) | Pure and Applied Chemistry Table 1, ref. 87, PDF p. 13; directly tabulated value</x:v>
      </x:c>
      <x:c r="M54" s="16" t="str">
        <x:v>10.1351/pac199365122613</x:v>
      </x:c>
      <x:c r="N54" s="16" t="str">
        <x:v>data_source/lobo_1993.pdf</x:v>
      </x:c>
      <x:c r="O54" s="22" t="str">
        <x:v>Lobo 1993 Table 1, PDF pp.13–14; bibliography ref.87, PDF p.27</x:v>
      </x:c>
      <x:c r="P54" s="22" t="str">
        <x:v>compilation_table_verified_original_paper_not_archived</x:v>
      </x:c>
      <x:c r="Q54" s="22" t="str">
        <x:v>conditional_exploratory_pending_original_paper_audit</x:v>
      </x:c>
      <x:c r="R54" s="16" t="str">
        <x:v>retrospective_grouped_cv_pool</x:v>
      </x:c>
      <x:c r="S54" s="16" t="str">
        <x:v>COND:273.15K:0.98260000M</x:v>
      </x:c>
      <x:c r="T54" s="20" t="n">
        <x:v>1</x:v>
      </x:c>
      <x:c r="U54" s="16" t="str">
        <x:v>unique_state</x:v>
      </x:c>
      <x:c r="V54" s="22" t="str">
        <x:v>Lobo PDF pp.13–14 belong to the same original paper and are merged.</x:v>
      </x:c>
    </x:row>
    <x:row r="55" ht="39.599998474121094" hidden="0" customHeight="1">
      <x:c r="A55" s="16" t="str">
        <x:v>F40279</x:v>
      </x:c>
      <x:c r="B55" s="16" t="str">
        <x:v>LiCl-H2O</x:v>
      </x:c>
      <x:c r="C55" s="17" t="n">
        <x:v>273.15</x:v>
      </x:c>
      <x:c r="D55" s="18" t="n">
        <x:v>1.4581</x:v>
      </x:c>
      <x:c r="E55" s="19" t="n">
        <x:v>0.647</x:v>
      </x:c>
      <x:c r="F55" s="16" t="str">
        <x:v>BIB:LICL:LOBO1993:REF_087</x:v>
      </x:c>
      <x:c r="G55" s="16" t="str">
        <x:v>BIB:LICL:LOBO1993:REF_087</x:v>
      </x:c>
      <x:c r="H55" s="16" t="str">
        <x:v>bibliographic_original_study_via_compilation</x:v>
      </x:c>
      <x:c r="I55" s="16" t="str">
        <x:v>087</x:v>
      </x:c>
      <x:c r="J55" s="22" t="str">
        <x:v>V. Vitagliano, Gazz. Chim. Ital. 90, 876 (1960)</x:v>
      </x:c>
      <x:c r="K55" s="22"/>
      <x:c r="L55" s="22" t="str">
        <x:v>lobo_1993 | V. M. M. Lobo (1993) | Pure and Applied Chemistry Table 1, ref. 87, PDF p. 13; directly tabulated value</x:v>
      </x:c>
      <x:c r="M55" s="16" t="str">
        <x:v>10.1351/pac199365122613</x:v>
      </x:c>
      <x:c r="N55" s="16" t="str">
        <x:v>data_source/lobo_1993.pdf</x:v>
      </x:c>
      <x:c r="O55" s="22" t="str">
        <x:v>Lobo 1993 Table 1, PDF pp.13–14; bibliography ref.87, PDF p.27</x:v>
      </x:c>
      <x:c r="P55" s="22" t="str">
        <x:v>compilation_table_verified_original_paper_not_archived</x:v>
      </x:c>
      <x:c r="Q55" s="22" t="str">
        <x:v>conditional_exploratory_pending_original_paper_audit</x:v>
      </x:c>
      <x:c r="R55" s="16" t="str">
        <x:v>retrospective_grouped_cv_pool</x:v>
      </x:c>
      <x:c r="S55" s="16" t="str">
        <x:v>COND:273.15K:1.45810000M</x:v>
      </x:c>
      <x:c r="T55" s="20" t="n">
        <x:v>1</x:v>
      </x:c>
      <x:c r="U55" s="16" t="str">
        <x:v>unique_state</x:v>
      </x:c>
      <x:c r="V55" s="22" t="str">
        <x:v>Lobo PDF pp.13–14 belong to the same original paper and are merged.</x:v>
      </x:c>
    </x:row>
    <x:row r="56" ht="39.599998474121094" hidden="0" customHeight="1">
      <x:c r="A56" s="16" t="str">
        <x:v>F40280</x:v>
      </x:c>
      <x:c r="B56" s="16" t="str">
        <x:v>LiCl-H2O</x:v>
      </x:c>
      <x:c r="C56" s="17" t="n">
        <x:v>273.15</x:v>
      </x:c>
      <x:c r="D56" s="18" t="n">
        <x:v>1.9296</x:v>
      </x:c>
      <x:c r="E56" s="19" t="n">
        <x:v>0.67</x:v>
      </x:c>
      <x:c r="F56" s="16" t="str">
        <x:v>BIB:LICL:LOBO1993:REF_087</x:v>
      </x:c>
      <x:c r="G56" s="16" t="str">
        <x:v>BIB:LICL:LOBO1993:REF_087</x:v>
      </x:c>
      <x:c r="H56" s="16" t="str">
        <x:v>bibliographic_original_study_via_compilation</x:v>
      </x:c>
      <x:c r="I56" s="16" t="str">
        <x:v>087</x:v>
      </x:c>
      <x:c r="J56" s="22" t="str">
        <x:v>V. Vitagliano, Gazz. Chim. Ital. 90, 876 (1960)</x:v>
      </x:c>
      <x:c r="K56" s="22"/>
      <x:c r="L56" s="22" t="str">
        <x:v>lobo_1993 | V. M. M. Lobo (1993) | Pure and Applied Chemistry Table 1, ref. 87, PDF p. 13; directly tabulated value</x:v>
      </x:c>
      <x:c r="M56" s="16" t="str">
        <x:v>10.1351/pac199365122613</x:v>
      </x:c>
      <x:c r="N56" s="16" t="str">
        <x:v>data_source/lobo_1993.pdf</x:v>
      </x:c>
      <x:c r="O56" s="22" t="str">
        <x:v>Lobo 1993 Table 1, PDF pp.13–14; bibliography ref.87, PDF p.27</x:v>
      </x:c>
      <x:c r="P56" s="22" t="str">
        <x:v>compilation_table_verified_original_paper_not_archived</x:v>
      </x:c>
      <x:c r="Q56" s="22" t="str">
        <x:v>conditional_exploratory_pending_original_paper_audit</x:v>
      </x:c>
      <x:c r="R56" s="16" t="str">
        <x:v>retrospective_grouped_cv_pool</x:v>
      </x:c>
      <x:c r="S56" s="16" t="str">
        <x:v>COND:273.15K:1.92960000M</x:v>
      </x:c>
      <x:c r="T56" s="20" t="n">
        <x:v>1</x:v>
      </x:c>
      <x:c r="U56" s="16" t="str">
        <x:v>unique_state</x:v>
      </x:c>
      <x:c r="V56" s="22" t="str">
        <x:v>Lobo PDF pp.13–14 belong to the same original paper and are merged.</x:v>
      </x:c>
    </x:row>
    <x:row r="57" ht="39.599998474121094" hidden="0" customHeight="1">
      <x:c r="A57" s="16" t="str">
        <x:v>F40281</x:v>
      </x:c>
      <x:c r="B57" s="16" t="str">
        <x:v>LiCl-H2O</x:v>
      </x:c>
      <x:c r="C57" s="17" t="n">
        <x:v>273.15</x:v>
      </x:c>
      <x:c r="D57" s="18" t="n">
        <x:v>2.3877</x:v>
      </x:c>
      <x:c r="E57" s="19" t="n">
        <x:v>0.69</x:v>
      </x:c>
      <x:c r="F57" s="16" t="str">
        <x:v>BIB:LICL:LOBO1993:REF_087</x:v>
      </x:c>
      <x:c r="G57" s="16" t="str">
        <x:v>BIB:LICL:LOBO1993:REF_087</x:v>
      </x:c>
      <x:c r="H57" s="16" t="str">
        <x:v>bibliographic_original_study_via_compilation</x:v>
      </x:c>
      <x:c r="I57" s="16" t="str">
        <x:v>087</x:v>
      </x:c>
      <x:c r="J57" s="22" t="str">
        <x:v>V. Vitagliano, Gazz. Chim. Ital. 90, 876 (1960)</x:v>
      </x:c>
      <x:c r="K57" s="22"/>
      <x:c r="L57" s="22" t="str">
        <x:v>lobo_1993 | V. M. M. Lobo (1993) | Pure and Applied Chemistry Table 1, ref. 87, PDF p. 13; directly tabulated value</x:v>
      </x:c>
      <x:c r="M57" s="16" t="str">
        <x:v>10.1351/pac199365122613</x:v>
      </x:c>
      <x:c r="N57" s="16" t="str">
        <x:v>data_source/lobo_1993.pdf</x:v>
      </x:c>
      <x:c r="O57" s="22" t="str">
        <x:v>Lobo 1993 Table 1, PDF pp.13–14; bibliography ref.87, PDF p.27</x:v>
      </x:c>
      <x:c r="P57" s="22" t="str">
        <x:v>compilation_table_verified_original_paper_not_archived</x:v>
      </x:c>
      <x:c r="Q57" s="22" t="str">
        <x:v>conditional_exploratory_pending_original_paper_audit</x:v>
      </x:c>
      <x:c r="R57" s="16" t="str">
        <x:v>retrospective_grouped_cv_pool</x:v>
      </x:c>
      <x:c r="S57" s="16" t="str">
        <x:v>COND:273.15K:2.38770000M</x:v>
      </x:c>
      <x:c r="T57" s="20" t="n">
        <x:v>1</x:v>
      </x:c>
      <x:c r="U57" s="16" t="str">
        <x:v>unique_state</x:v>
      </x:c>
      <x:c r="V57" s="22" t="str">
        <x:v>Lobo PDF pp.13–14 belong to the same original paper and are merged.</x:v>
      </x:c>
    </x:row>
    <x:row r="58" ht="39.599998474121094" hidden="0" customHeight="1">
      <x:c r="A58" s="16" t="str">
        <x:v>F40282</x:v>
      </x:c>
      <x:c r="B58" s="16" t="str">
        <x:v>LiCl-H2O</x:v>
      </x:c>
      <x:c r="C58" s="17" t="n">
        <x:v>273.15</x:v>
      </x:c>
      <x:c r="D58" s="18" t="n">
        <x:v>2.8399</x:v>
      </x:c>
      <x:c r="E58" s="19" t="n">
        <x:v>0.71</x:v>
      </x:c>
      <x:c r="F58" s="16" t="str">
        <x:v>BIB:LICL:LOBO1993:REF_087</x:v>
      </x:c>
      <x:c r="G58" s="16" t="str">
        <x:v>BIB:LICL:LOBO1993:REF_087</x:v>
      </x:c>
      <x:c r="H58" s="16" t="str">
        <x:v>bibliographic_original_study_via_compilation</x:v>
      </x:c>
      <x:c r="I58" s="16" t="str">
        <x:v>087</x:v>
      </x:c>
      <x:c r="J58" s="22" t="str">
        <x:v>V. Vitagliano, Gazz. Chim. Ital. 90, 876 (1960)</x:v>
      </x:c>
      <x:c r="K58" s="22"/>
      <x:c r="L58" s="22" t="str">
        <x:v>lobo_1993 | V. M. M. Lobo (1993) | Pure and Applied Chemistry Table 1, ref. 87, PDF p. 13; directly tabulated value</x:v>
      </x:c>
      <x:c r="M58" s="16" t="str">
        <x:v>10.1351/pac199365122613</x:v>
      </x:c>
      <x:c r="N58" s="16" t="str">
        <x:v>data_source/lobo_1993.pdf</x:v>
      </x:c>
      <x:c r="O58" s="22" t="str">
        <x:v>Lobo 1993 Table 1, PDF pp.13–14; bibliography ref.87, PDF p.27</x:v>
      </x:c>
      <x:c r="P58" s="22" t="str">
        <x:v>compilation_table_verified_original_paper_not_archived</x:v>
      </x:c>
      <x:c r="Q58" s="22" t="str">
        <x:v>conditional_exploratory_pending_original_paper_audit</x:v>
      </x:c>
      <x:c r="R58" s="16" t="str">
        <x:v>retrospective_grouped_cv_pool</x:v>
      </x:c>
      <x:c r="S58" s="16" t="str">
        <x:v>COND:273.15K:2.83990000M</x:v>
      </x:c>
      <x:c r="T58" s="20" t="n">
        <x:v>1</x:v>
      </x:c>
      <x:c r="U58" s="16" t="str">
        <x:v>unique_state</x:v>
      </x:c>
      <x:c r="V58" s="22" t="str">
        <x:v>Lobo PDF pp.13–14 belong to the same original paper and are merged.</x:v>
      </x:c>
    </x:row>
    <x:row r="59" ht="39.599998474121094" hidden="0" customHeight="1">
      <x:c r="A59" s="16" t="str">
        <x:v>F40283</x:v>
      </x:c>
      <x:c r="B59" s="16" t="str">
        <x:v>LiCl-H2O</x:v>
      </x:c>
      <x:c r="C59" s="17" t="n">
        <x:v>273.15</x:v>
      </x:c>
      <x:c r="D59" s="18" t="n">
        <x:v>2.84</x:v>
      </x:c>
      <x:c r="E59" s="19" t="n">
        <x:v>0.708</x:v>
      </x:c>
      <x:c r="F59" s="16" t="str">
        <x:v>BIB:LICL:LOBO1993:REF_087</x:v>
      </x:c>
      <x:c r="G59" s="16" t="str">
        <x:v>BIB:LICL:LOBO1993:REF_087</x:v>
      </x:c>
      <x:c r="H59" s="16" t="str">
        <x:v>bibliographic_original_study_via_compilation</x:v>
      </x:c>
      <x:c r="I59" s="16" t="str">
        <x:v>087</x:v>
      </x:c>
      <x:c r="J59" s="22" t="str">
        <x:v>V. Vitagliano, Gazz. Chim. Ital. 90, 876 (1960)</x:v>
      </x:c>
      <x:c r="K59" s="22"/>
      <x:c r="L59" s="22" t="str">
        <x:v>lobo_1993 | V. M. M. Lobo (1993) | Pure and Applied Chemistry Table 1, ref. 87, PDF p. 13; directly tabulated value</x:v>
      </x:c>
      <x:c r="M59" s="16" t="str">
        <x:v>10.1351/pac199365122613</x:v>
      </x:c>
      <x:c r="N59" s="16" t="str">
        <x:v>data_source/lobo_1993.pdf</x:v>
      </x:c>
      <x:c r="O59" s="22" t="str">
        <x:v>Lobo 1993 Table 1, PDF pp.13–14; bibliography ref.87, PDF p.27</x:v>
      </x:c>
      <x:c r="P59" s="22" t="str">
        <x:v>compilation_table_verified_original_paper_not_archived</x:v>
      </x:c>
      <x:c r="Q59" s="22" t="str">
        <x:v>conditional_exploratory_pending_original_paper_audit</x:v>
      </x:c>
      <x:c r="R59" s="16" t="str">
        <x:v>retrospective_grouped_cv_pool</x:v>
      </x:c>
      <x:c r="S59" s="16" t="str">
        <x:v>COND:273.15K:2.84000000M</x:v>
      </x:c>
      <x:c r="T59" s="20" t="n">
        <x:v>1</x:v>
      </x:c>
      <x:c r="U59" s="16" t="str">
        <x:v>unique_state</x:v>
      </x:c>
      <x:c r="V59" s="22" t="str">
        <x:v>Lobo PDF pp.13–14 belong to the same original paper and are merged.</x:v>
      </x:c>
    </x:row>
    <x:row r="60" ht="39.599998474121094" hidden="0" customHeight="1">
      <x:c r="A60" s="16" t="str">
        <x:v>F40284</x:v>
      </x:c>
      <x:c r="B60" s="16" t="str">
        <x:v>LiCl-H2O</x:v>
      </x:c>
      <x:c r="C60" s="17" t="n">
        <x:v>273.15</x:v>
      </x:c>
      <x:c r="D60" s="18" t="n">
        <x:v>3.2776</x:v>
      </x:c>
      <x:c r="E60" s="19" t="n">
        <x:v>0.727</x:v>
      </x:c>
      <x:c r="F60" s="16" t="str">
        <x:v>BIB:LICL:LOBO1993:REF_087</x:v>
      </x:c>
      <x:c r="G60" s="16" t="str">
        <x:v>BIB:LICL:LOBO1993:REF_087</x:v>
      </x:c>
      <x:c r="H60" s="16" t="str">
        <x:v>bibliographic_original_study_via_compilation</x:v>
      </x:c>
      <x:c r="I60" s="16" t="str">
        <x:v>087</x:v>
      </x:c>
      <x:c r="J60" s="22" t="str">
        <x:v>V. Vitagliano, Gazz. Chim. Ital. 90, 876 (1960)</x:v>
      </x:c>
      <x:c r="K60" s="22"/>
      <x:c r="L60" s="22" t="str">
        <x:v>lobo_1993 | V. M. M. Lobo (1993) | Pure and Applied Chemistry Table 1, ref. 87, PDF p. 13; directly tabulated value</x:v>
      </x:c>
      <x:c r="M60" s="16" t="str">
        <x:v>10.1351/pac199365122613</x:v>
      </x:c>
      <x:c r="N60" s="16" t="str">
        <x:v>data_source/lobo_1993.pdf</x:v>
      </x:c>
      <x:c r="O60" s="22" t="str">
        <x:v>Lobo 1993 Table 1, PDF pp.13–14; bibliography ref.87, PDF p.27</x:v>
      </x:c>
      <x:c r="P60" s="22" t="str">
        <x:v>compilation_table_verified_original_paper_not_archived</x:v>
      </x:c>
      <x:c r="Q60" s="22" t="str">
        <x:v>conditional_exploratory_pending_original_paper_audit</x:v>
      </x:c>
      <x:c r="R60" s="16" t="str">
        <x:v>retrospective_grouped_cv_pool</x:v>
      </x:c>
      <x:c r="S60" s="16" t="str">
        <x:v>COND:273.15K:3.27760000M</x:v>
      </x:c>
      <x:c r="T60" s="20" t="n">
        <x:v>1</x:v>
      </x:c>
      <x:c r="U60" s="16" t="str">
        <x:v>unique_state</x:v>
      </x:c>
      <x:c r="V60" s="22" t="str">
        <x:v>Lobo PDF pp.13–14 belong to the same original paper and are merged.</x:v>
      </x:c>
    </x:row>
    <x:row r="61" ht="39.599998474121094" hidden="0" customHeight="1">
      <x:c r="A61" s="16" t="str">
        <x:v>F40285</x:v>
      </x:c>
      <x:c r="B61" s="16" t="str">
        <x:v>LiCl-H2O</x:v>
      </x:c>
      <x:c r="C61" s="17" t="n">
        <x:v>273.15</x:v>
      </x:c>
      <x:c r="D61" s="18" t="n">
        <x:v>3.7131</x:v>
      </x:c>
      <x:c r="E61" s="19" t="n">
        <x:v>0.741</x:v>
      </x:c>
      <x:c r="F61" s="16" t="str">
        <x:v>BIB:LICL:LOBO1993:REF_087</x:v>
      </x:c>
      <x:c r="G61" s="16" t="str">
        <x:v>BIB:LICL:LOBO1993:REF_087</x:v>
      </x:c>
      <x:c r="H61" s="16" t="str">
        <x:v>bibliographic_original_study_via_compilation</x:v>
      </x:c>
      <x:c r="I61" s="16" t="str">
        <x:v>087</x:v>
      </x:c>
      <x:c r="J61" s="22" t="str">
        <x:v>V. Vitagliano, Gazz. Chim. Ital. 90, 876 (1960)</x:v>
      </x:c>
      <x:c r="K61" s="22"/>
      <x:c r="L61" s="22" t="str">
        <x:v>lobo_1993 | V. M. M. Lobo (1993) | Pure and Applied Chemistry Table 1, ref. 87, PDF p. 13; directly tabulated value</x:v>
      </x:c>
      <x:c r="M61" s="16" t="str">
        <x:v>10.1351/pac199365122613</x:v>
      </x:c>
      <x:c r="N61" s="16" t="str">
        <x:v>data_source/lobo_1993.pdf</x:v>
      </x:c>
      <x:c r="O61" s="22" t="str">
        <x:v>Lobo 1993 Table 1, PDF pp.13–14; bibliography ref.87, PDF p.27</x:v>
      </x:c>
      <x:c r="P61" s="22" t="str">
        <x:v>compilation_table_verified_original_paper_not_archived</x:v>
      </x:c>
      <x:c r="Q61" s="22" t="str">
        <x:v>conditional_exploratory_pending_original_paper_audit</x:v>
      </x:c>
      <x:c r="R61" s="16" t="str">
        <x:v>retrospective_grouped_cv_pool</x:v>
      </x:c>
      <x:c r="S61" s="16" t="str">
        <x:v>COND:273.15K:3.71310000M</x:v>
      </x:c>
      <x:c r="T61" s="20" t="n">
        <x:v>1</x:v>
      </x:c>
      <x:c r="U61" s="16" t="str">
        <x:v>unique_state</x:v>
      </x:c>
      <x:c r="V61" s="22" t="str">
        <x:v>Lobo PDF pp.13–14 belong to the same original paper and are merged.</x:v>
      </x:c>
    </x:row>
    <x:row r="62" ht="39.599998474121094" hidden="0" customHeight="1">
      <x:c r="A62" s="16" t="str">
        <x:v>F40286</x:v>
      </x:c>
      <x:c r="B62" s="16" t="str">
        <x:v>LiCl-H2O</x:v>
      </x:c>
      <x:c r="C62" s="17" t="n">
        <x:v>273.15</x:v>
      </x:c>
      <x:c r="D62" s="18" t="n">
        <x:v>4.1393</x:v>
      </x:c>
      <x:c r="E62" s="19" t="n">
        <x:v>0.754</x:v>
      </x:c>
      <x:c r="F62" s="16" t="str">
        <x:v>BIB:LICL:LOBO1993:REF_087</x:v>
      </x:c>
      <x:c r="G62" s="16" t="str">
        <x:v>BIB:LICL:LOBO1993:REF_087</x:v>
      </x:c>
      <x:c r="H62" s="16" t="str">
        <x:v>bibliographic_original_study_via_compilation</x:v>
      </x:c>
      <x:c r="I62" s="16" t="str">
        <x:v>087</x:v>
      </x:c>
      <x:c r="J62" s="22" t="str">
        <x:v>V. Vitagliano, Gazz. Chim. Ital. 90, 876 (1960)</x:v>
      </x:c>
      <x:c r="K62" s="22"/>
      <x:c r="L62" s="22" t="str">
        <x:v>lobo_1993 | V. M. M. Lobo (1993) | Pure and Applied Chemistry Table 1, ref. 87, PDF p. 13; directly tabulated value</x:v>
      </x:c>
      <x:c r="M62" s="16" t="str">
        <x:v>10.1351/pac199365122613</x:v>
      </x:c>
      <x:c r="N62" s="16" t="str">
        <x:v>data_source/lobo_1993.pdf</x:v>
      </x:c>
      <x:c r="O62" s="22" t="str">
        <x:v>Lobo 1993 Table 1, PDF pp.13–14; bibliography ref.87, PDF p.27</x:v>
      </x:c>
      <x:c r="P62" s="22" t="str">
        <x:v>compilation_table_verified_original_paper_not_archived</x:v>
      </x:c>
      <x:c r="Q62" s="22" t="str">
        <x:v>conditional_exploratory_pending_original_paper_audit</x:v>
      </x:c>
      <x:c r="R62" s="16" t="str">
        <x:v>retrospective_grouped_cv_pool</x:v>
      </x:c>
      <x:c r="S62" s="16" t="str">
        <x:v>COND:273.15K:4.13930000M</x:v>
      </x:c>
      <x:c r="T62" s="20" t="n">
        <x:v>1</x:v>
      </x:c>
      <x:c r="U62" s="16" t="str">
        <x:v>unique_state</x:v>
      </x:c>
      <x:c r="V62" s="22" t="str">
        <x:v>Lobo PDF pp.13–14 belong to the same original paper and are merged.</x:v>
      </x:c>
    </x:row>
    <x:row r="63" ht="39.599998474121094" hidden="0" customHeight="1">
      <x:c r="A63" s="16" t="str">
        <x:v>F40287</x:v>
      </x:c>
      <x:c r="B63" s="16" t="str">
        <x:v>LiCl-H2O</x:v>
      </x:c>
      <x:c r="C63" s="17" t="n">
        <x:v>273.15</x:v>
      </x:c>
      <x:c r="D63" s="18" t="n">
        <x:v>4.5548</x:v>
      </x:c>
      <x:c r="E63" s="19" t="n">
        <x:v>0.767</x:v>
      </x:c>
      <x:c r="F63" s="16" t="str">
        <x:v>BIB:LICL:LOBO1993:REF_087</x:v>
      </x:c>
      <x:c r="G63" s="16" t="str">
        <x:v>BIB:LICL:LOBO1993:REF_087</x:v>
      </x:c>
      <x:c r="H63" s="16" t="str">
        <x:v>bibliographic_original_study_via_compilation</x:v>
      </x:c>
      <x:c r="I63" s="16" t="str">
        <x:v>087</x:v>
      </x:c>
      <x:c r="J63" s="22" t="str">
        <x:v>V. Vitagliano, Gazz. Chim. Ital. 90, 876 (1960)</x:v>
      </x:c>
      <x:c r="K63" s="22"/>
      <x:c r="L63" s="22" t="str">
        <x:v>lobo_1993 | V. M. M. Lobo (1993) | Pure and Applied Chemistry Table 1, ref. 87, PDF p. 13; directly tabulated value</x:v>
      </x:c>
      <x:c r="M63" s="16" t="str">
        <x:v>10.1351/pac199365122613</x:v>
      </x:c>
      <x:c r="N63" s="16" t="str">
        <x:v>data_source/lobo_1993.pdf</x:v>
      </x:c>
      <x:c r="O63" s="22" t="str">
        <x:v>Lobo 1993 Table 1, PDF pp.13–14; bibliography ref.87, PDF p.27</x:v>
      </x:c>
      <x:c r="P63" s="22" t="str">
        <x:v>compilation_table_verified_original_paper_not_archived</x:v>
      </x:c>
      <x:c r="Q63" s="22" t="str">
        <x:v>conditional_exploratory_pending_original_paper_audit</x:v>
      </x:c>
      <x:c r="R63" s="16" t="str">
        <x:v>retrospective_grouped_cv_pool</x:v>
      </x:c>
      <x:c r="S63" s="16" t="str">
        <x:v>COND:273.15K:4.55480000M</x:v>
      </x:c>
      <x:c r="T63" s="20" t="n">
        <x:v>1</x:v>
      </x:c>
      <x:c r="U63" s="16" t="str">
        <x:v>unique_state</x:v>
      </x:c>
      <x:c r="V63" s="22" t="str">
        <x:v>Lobo PDF pp.13–14 belong to the same original paper and are merged.</x:v>
      </x:c>
    </x:row>
    <x:row r="64" ht="39.599998474121094" hidden="0" customHeight="1">
      <x:c r="A64" s="16" t="str">
        <x:v>F40288</x:v>
      </x:c>
      <x:c r="B64" s="16" t="str">
        <x:v>LiCl-H2O</x:v>
      </x:c>
      <x:c r="C64" s="17" t="n">
        <x:v>273.15</x:v>
      </x:c>
      <x:c r="D64" s="18" t="n">
        <x:v>4.9632</x:v>
      </x:c>
      <x:c r="E64" s="19" t="n">
        <x:v>0.776</x:v>
      </x:c>
      <x:c r="F64" s="16" t="str">
        <x:v>BIB:LICL:LOBO1993:REF_087</x:v>
      </x:c>
      <x:c r="G64" s="16" t="str">
        <x:v>BIB:LICL:LOBO1993:REF_087</x:v>
      </x:c>
      <x:c r="H64" s="16" t="str">
        <x:v>bibliographic_original_study_via_compilation</x:v>
      </x:c>
      <x:c r="I64" s="16" t="str">
        <x:v>087</x:v>
      </x:c>
      <x:c r="J64" s="22" t="str">
        <x:v>V. Vitagliano, Gazz. Chim. Ital. 90, 876 (1960)</x:v>
      </x:c>
      <x:c r="K64" s="22"/>
      <x:c r="L64" s="22" t="str">
        <x:v>lobo_1993 | V. M. M. Lobo (1993) | Pure and Applied Chemistry Table 1, ref. 87, PDF p. 13; directly tabulated value</x:v>
      </x:c>
      <x:c r="M64" s="16" t="str">
        <x:v>10.1351/pac199365122613</x:v>
      </x:c>
      <x:c r="N64" s="16" t="str">
        <x:v>data_source/lobo_1993.pdf</x:v>
      </x:c>
      <x:c r="O64" s="22" t="str">
        <x:v>Lobo 1993 Table 1, PDF pp.13–14; bibliography ref.87, PDF p.27</x:v>
      </x:c>
      <x:c r="P64" s="22" t="str">
        <x:v>compilation_table_verified_original_paper_not_archived</x:v>
      </x:c>
      <x:c r="Q64" s="22" t="str">
        <x:v>conditional_exploratory_pending_original_paper_audit</x:v>
      </x:c>
      <x:c r="R64" s="16" t="str">
        <x:v>retrospective_grouped_cv_pool</x:v>
      </x:c>
      <x:c r="S64" s="16" t="str">
        <x:v>COND:273.15K:4.96320000M</x:v>
      </x:c>
      <x:c r="T64" s="20" t="n">
        <x:v>1</x:v>
      </x:c>
      <x:c r="U64" s="16" t="str">
        <x:v>unique_state</x:v>
      </x:c>
      <x:c r="V64" s="22" t="str">
        <x:v>Lobo PDF pp.13–14 belong to the same original paper and are merged.</x:v>
      </x:c>
    </x:row>
    <x:row r="65" ht="39.599998474121094" hidden="0" customHeight="1">
      <x:c r="A65" s="16" t="str">
        <x:v>F40289</x:v>
      </x:c>
      <x:c r="B65" s="16" t="str">
        <x:v>LiCl-H2O</x:v>
      </x:c>
      <x:c r="C65" s="17" t="n">
        <x:v>273.15</x:v>
      </x:c>
      <x:c r="D65" s="18" t="n">
        <x:v>5.3629</x:v>
      </x:c>
      <x:c r="E65" s="19" t="n">
        <x:v>0.774</x:v>
      </x:c>
      <x:c r="F65" s="16" t="str">
        <x:v>BIB:LICL:LOBO1993:REF_087</x:v>
      </x:c>
      <x:c r="G65" s="16" t="str">
        <x:v>BIB:LICL:LOBO1993:REF_087</x:v>
      </x:c>
      <x:c r="H65" s="16" t="str">
        <x:v>bibliographic_original_study_via_compilation</x:v>
      </x:c>
      <x:c r="I65" s="16" t="str">
        <x:v>087</x:v>
      </x:c>
      <x:c r="J65" s="22" t="str">
        <x:v>V. Vitagliano, Gazz. Chim. Ital. 90, 876 (1960)</x:v>
      </x:c>
      <x:c r="K65" s="22"/>
      <x:c r="L65" s="22" t="str">
        <x:v>lobo_1993 | V. M. M. Lobo (1993) | Pure and Applied Chemistry Table 1, ref. 87, PDF p. 13; directly tabulated value</x:v>
      </x:c>
      <x:c r="M65" s="16" t="str">
        <x:v>10.1351/pac199365122613</x:v>
      </x:c>
      <x:c r="N65" s="16" t="str">
        <x:v>data_source/lobo_1993.pdf</x:v>
      </x:c>
      <x:c r="O65" s="22" t="str">
        <x:v>Lobo 1993 Table 1, PDF pp.13–14; bibliography ref.87, PDF p.27</x:v>
      </x:c>
      <x:c r="P65" s="22" t="str">
        <x:v>compilation_table_verified_original_paper_not_archived</x:v>
      </x:c>
      <x:c r="Q65" s="22" t="str">
        <x:v>conditional_exploratory_pending_original_paper_audit</x:v>
      </x:c>
      <x:c r="R65" s="16" t="str">
        <x:v>retrospective_grouped_cv_pool</x:v>
      </x:c>
      <x:c r="S65" s="16" t="str">
        <x:v>COND:273.15K:5.36290000M</x:v>
      </x:c>
      <x:c r="T65" s="20" t="n">
        <x:v>1</x:v>
      </x:c>
      <x:c r="U65" s="16" t="str">
        <x:v>unique_state</x:v>
      </x:c>
      <x:c r="V65" s="22" t="str">
        <x:v>Lobo PDF pp.13–14 belong to the same original paper and are merged.</x:v>
      </x:c>
    </x:row>
    <x:row r="66" ht="39.599998474121094" hidden="0" customHeight="1">
      <x:c r="A66" s="16" t="str">
        <x:v>F40290</x:v>
      </x:c>
      <x:c r="B66" s="16" t="str">
        <x:v>LiCl-H2O</x:v>
      </x:c>
      <x:c r="C66" s="17" t="n">
        <x:v>273.15</x:v>
      </x:c>
      <x:c r="D66" s="18" t="n">
        <x:v>6.1393</x:v>
      </x:c>
      <x:c r="E66" s="19" t="n">
        <x:v>0.758</x:v>
      </x:c>
      <x:c r="F66" s="16" t="str">
        <x:v>BIB:LICL:LOBO1993:REF_087</x:v>
      </x:c>
      <x:c r="G66" s="16" t="str">
        <x:v>BIB:LICL:LOBO1993:REF_087</x:v>
      </x:c>
      <x:c r="H66" s="16" t="str">
        <x:v>bibliographic_original_study_via_compilation</x:v>
      </x:c>
      <x:c r="I66" s="16" t="str">
        <x:v>087</x:v>
      </x:c>
      <x:c r="J66" s="22" t="str">
        <x:v>V. Vitagliano, Gazz. Chim. Ital. 90, 876 (1960)</x:v>
      </x:c>
      <x:c r="K66" s="22"/>
      <x:c r="L66" s="22" t="str">
        <x:v>lobo_1993 | V. M. M. Lobo (1993) | Pure and Applied Chemistry Table 1, ref. 87, PDF p. 13; directly tabulated value</x:v>
      </x:c>
      <x:c r="M66" s="16" t="str">
        <x:v>10.1351/pac199365122613</x:v>
      </x:c>
      <x:c r="N66" s="16" t="str">
        <x:v>data_source/lobo_1993.pdf</x:v>
      </x:c>
      <x:c r="O66" s="22" t="str">
        <x:v>Lobo 1993 Table 1, PDF pp.13–14; bibliography ref.87, PDF p.27</x:v>
      </x:c>
      <x:c r="P66" s="22" t="str">
        <x:v>compilation_table_verified_original_paper_not_archived</x:v>
      </x:c>
      <x:c r="Q66" s="22" t="str">
        <x:v>conditional_exploratory_pending_original_paper_audit</x:v>
      </x:c>
      <x:c r="R66" s="16" t="str">
        <x:v>retrospective_grouped_cv_pool</x:v>
      </x:c>
      <x:c r="S66" s="16" t="str">
        <x:v>COND:273.15K:6.13930000M</x:v>
      </x:c>
      <x:c r="T66" s="20" t="n">
        <x:v>1</x:v>
      </x:c>
      <x:c r="U66" s="16" t="str">
        <x:v>unique_state</x:v>
      </x:c>
      <x:c r="V66" s="22" t="str">
        <x:v>Lobo PDF pp.13–14 belong to the same original paper and are merged.</x:v>
      </x:c>
    </x:row>
    <x:row r="67" ht="39.599998474121094" hidden="0" customHeight="1">
      <x:c r="A67" s="16" t="str">
        <x:v>F40291</x:v>
      </x:c>
      <x:c r="B67" s="16" t="str">
        <x:v>LiCl-H2O</x:v>
      </x:c>
      <x:c r="C67" s="17" t="n">
        <x:v>273.15</x:v>
      </x:c>
      <x:c r="D67" s="18" t="n">
        <x:v>6.929</x:v>
      </x:c>
      <x:c r="E67" s="19" t="n">
        <x:v>0.734</x:v>
      </x:c>
      <x:c r="F67" s="16" t="str">
        <x:v>BIB:LICL:LOBO1993:REF_087</x:v>
      </x:c>
      <x:c r="G67" s="16" t="str">
        <x:v>BIB:LICL:LOBO1993:REF_087</x:v>
      </x:c>
      <x:c r="H67" s="16" t="str">
        <x:v>bibliographic_original_study_via_compilation</x:v>
      </x:c>
      <x:c r="I67" s="16" t="str">
        <x:v>087</x:v>
      </x:c>
      <x:c r="J67" s="22" t="str">
        <x:v>V. Vitagliano, Gazz. Chim. Ital. 90, 876 (1960)</x:v>
      </x:c>
      <x:c r="K67" s="22"/>
      <x:c r="L67" s="22" t="str">
        <x:v>lobo_1993 | V. M. M. Lobo (1993) | Pure and Applied Chemistry Table 1, ref. 87, PDF p. 13; directly tabulated value</x:v>
      </x:c>
      <x:c r="M67" s="16" t="str">
        <x:v>10.1351/pac199365122613</x:v>
      </x:c>
      <x:c r="N67" s="16" t="str">
        <x:v>data_source/lobo_1993.pdf</x:v>
      </x:c>
      <x:c r="O67" s="22" t="str">
        <x:v>Lobo 1993 Table 1, PDF pp.13–14; bibliography ref.87, PDF p.27</x:v>
      </x:c>
      <x:c r="P67" s="22" t="str">
        <x:v>compilation_table_verified_original_paper_not_archived</x:v>
      </x:c>
      <x:c r="Q67" s="22" t="str">
        <x:v>conditional_exploratory_pending_original_paper_audit</x:v>
      </x:c>
      <x:c r="R67" s="16" t="str">
        <x:v>retrospective_grouped_cv_pool</x:v>
      </x:c>
      <x:c r="S67" s="16" t="str">
        <x:v>COND:273.15K:6.92900000M</x:v>
      </x:c>
      <x:c r="T67" s="20" t="n">
        <x:v>1</x:v>
      </x:c>
      <x:c r="U67" s="16" t="str">
        <x:v>unique_state</x:v>
      </x:c>
      <x:c r="V67" s="22" t="str">
        <x:v>Lobo PDF pp.13–14 belong to the same original paper and are merged.</x:v>
      </x:c>
    </x:row>
    <x:row r="68" ht="39.599998474121094" hidden="0" customHeight="1">
      <x:c r="A68" s="16" t="str">
        <x:v>F40292</x:v>
      </x:c>
      <x:c r="B68" s="16" t="str">
        <x:v>LiCl-H2O</x:v>
      </x:c>
      <x:c r="C68" s="17" t="n">
        <x:v>291.15</x:v>
      </x:c>
      <x:c r="D68" s="18" t="n">
        <x:v>0.1673</x:v>
      </x:c>
      <x:c r="E68" s="19" t="n">
        <x:v>1.054</x:v>
      </x:c>
      <x:c r="F68" s="16" t="str">
        <x:v>BIB:LICL:LOBO1993:REF_087</x:v>
      </x:c>
      <x:c r="G68" s="16" t="str">
        <x:v>BIB:LICL:LOBO1993:REF_087</x:v>
      </x:c>
      <x:c r="H68" s="16" t="str">
        <x:v>bibliographic_original_study_via_compilation</x:v>
      </x:c>
      <x:c r="I68" s="16" t="str">
        <x:v>087</x:v>
      </x:c>
      <x:c r="J68" s="22" t="str">
        <x:v>V. Vitagliano, Gazz. Chim. Ital. 90, 876 (1960)</x:v>
      </x:c>
      <x:c r="K68" s="22"/>
      <x:c r="L68" s="22" t="str">
        <x:v>lobo_1993 | V. M. M. Lobo (1993) | Pure and Applied Chemistry Table 1, ref. 87, PDF p. 14; directly tabulated value</x:v>
      </x:c>
      <x:c r="M68" s="16" t="str">
        <x:v>10.1351/pac199365122613</x:v>
      </x:c>
      <x:c r="N68" s="16" t="str">
        <x:v>data_source/lobo_1993.pdf</x:v>
      </x:c>
      <x:c r="O68" s="22" t="str">
        <x:v>Lobo 1993 Table 1, PDF pp.13–14; bibliography ref.87, PDF p.27</x:v>
      </x:c>
      <x:c r="P68" s="22" t="str">
        <x:v>compilation_table_verified_original_paper_not_archived</x:v>
      </x:c>
      <x:c r="Q68" s="22" t="str">
        <x:v>conditional_exploratory_pending_original_paper_audit</x:v>
      </x:c>
      <x:c r="R68" s="16" t="str">
        <x:v>retrospective_grouped_cv_pool</x:v>
      </x:c>
      <x:c r="S68" s="16" t="str">
        <x:v>COND:291.15K:0.16730000M</x:v>
      </x:c>
      <x:c r="T68" s="20" t="n">
        <x:v>1</x:v>
      </x:c>
      <x:c r="U68" s="16" t="str">
        <x:v>unique_state</x:v>
      </x:c>
      <x:c r="V68" s="22" t="str">
        <x:v>Lobo PDF pp.13–14 belong to the same original paper and are merged.</x:v>
      </x:c>
    </x:row>
    <x:row r="69" ht="39.599998474121094" hidden="0" customHeight="1">
      <x:c r="A69" s="16" t="str">
        <x:v>F40293</x:v>
      </x:c>
      <x:c r="B69" s="16" t="str">
        <x:v>LiCl-H2O</x:v>
      </x:c>
      <x:c r="C69" s="17" t="n">
        <x:v>291.15</x:v>
      </x:c>
      <x:c r="D69" s="18" t="n">
        <x:v>0.2973</x:v>
      </x:c>
      <x:c r="E69" s="19" t="n">
        <x:v>1.049</x:v>
      </x:c>
      <x:c r="F69" s="16" t="str">
        <x:v>BIB:LICL:LOBO1993:REF_087</x:v>
      </x:c>
      <x:c r="G69" s="16" t="str">
        <x:v>BIB:LICL:LOBO1993:REF_087</x:v>
      </x:c>
      <x:c r="H69" s="16" t="str">
        <x:v>bibliographic_original_study_via_compilation</x:v>
      </x:c>
      <x:c r="I69" s="16" t="str">
        <x:v>087</x:v>
      </x:c>
      <x:c r="J69" s="22" t="str">
        <x:v>V. Vitagliano, Gazz. Chim. Ital. 90, 876 (1960)</x:v>
      </x:c>
      <x:c r="K69" s="22"/>
      <x:c r="L69" s="22" t="str">
        <x:v>lobo_1993 | V. M. M. Lobo (1993) | Pure and Applied Chemistry Table 1, ref. 87, PDF p. 14; directly tabulated value</x:v>
      </x:c>
      <x:c r="M69" s="16" t="str">
        <x:v>10.1351/pac199365122613</x:v>
      </x:c>
      <x:c r="N69" s="16" t="str">
        <x:v>data_source/lobo_1993.pdf</x:v>
      </x:c>
      <x:c r="O69" s="22" t="str">
        <x:v>Lobo 1993 Table 1, PDF pp.13–14; bibliography ref.87, PDF p.27</x:v>
      </x:c>
      <x:c r="P69" s="22" t="str">
        <x:v>compilation_table_verified_original_paper_not_archived</x:v>
      </x:c>
      <x:c r="Q69" s="22" t="str">
        <x:v>conditional_exploratory_pending_original_paper_audit</x:v>
      </x:c>
      <x:c r="R69" s="16" t="str">
        <x:v>retrospective_grouped_cv_pool</x:v>
      </x:c>
      <x:c r="S69" s="16" t="str">
        <x:v>COND:291.15K:0.29730000M</x:v>
      </x:c>
      <x:c r="T69" s="20" t="n">
        <x:v>1</x:v>
      </x:c>
      <x:c r="U69" s="16" t="str">
        <x:v>unique_state</x:v>
      </x:c>
      <x:c r="V69" s="22" t="str">
        <x:v>Lobo PDF pp.13–14 belong to the same original paper and are merged.</x:v>
      </x:c>
    </x:row>
    <x:row r="70" ht="39.599998474121094" hidden="0" customHeight="1">
      <x:c r="A70" s="16" t="str">
        <x:v>F40294</x:v>
      </x:c>
      <x:c r="B70" s="16" t="str">
        <x:v>LiCl-H2O</x:v>
      </x:c>
      <x:c r="C70" s="17" t="n">
        <x:v>291.15</x:v>
      </x:c>
      <x:c r="D70" s="18" t="n">
        <x:v>0.5925</x:v>
      </x:c>
      <x:c r="E70" s="19" t="n">
        <x:v>1.062</x:v>
      </x:c>
      <x:c r="F70" s="16" t="str">
        <x:v>BIB:LICL:LOBO1993:REF_087</x:v>
      </x:c>
      <x:c r="G70" s="16" t="str">
        <x:v>BIB:LICL:LOBO1993:REF_087</x:v>
      </x:c>
      <x:c r="H70" s="16" t="str">
        <x:v>bibliographic_original_study_via_compilation</x:v>
      </x:c>
      <x:c r="I70" s="16" t="str">
        <x:v>087</x:v>
      </x:c>
      <x:c r="J70" s="22" t="str">
        <x:v>V. Vitagliano, Gazz. Chim. Ital. 90, 876 (1960)</x:v>
      </x:c>
      <x:c r="K70" s="22"/>
      <x:c r="L70" s="22" t="str">
        <x:v>lobo_1993 | V. M. M. Lobo (1993) | Pure and Applied Chemistry Table 1, ref. 87, PDF p. 14; directly tabulated value</x:v>
      </x:c>
      <x:c r="M70" s="16" t="str">
        <x:v>10.1351/pac199365122613</x:v>
      </x:c>
      <x:c r="N70" s="16" t="str">
        <x:v>data_source/lobo_1993.pdf</x:v>
      </x:c>
      <x:c r="O70" s="22" t="str">
        <x:v>Lobo 1993 Table 1, PDF pp.13–14; bibliography ref.87, PDF p.27</x:v>
      </x:c>
      <x:c r="P70" s="22" t="str">
        <x:v>compilation_table_verified_original_paper_not_archived</x:v>
      </x:c>
      <x:c r="Q70" s="22" t="str">
        <x:v>conditional_exploratory_pending_original_paper_audit</x:v>
      </x:c>
      <x:c r="R70" s="16" t="str">
        <x:v>retrospective_grouped_cv_pool</x:v>
      </x:c>
      <x:c r="S70" s="16" t="str">
        <x:v>COND:291.15K:0.59250000M</x:v>
      </x:c>
      <x:c r="T70" s="20" t="n">
        <x:v>1</x:v>
      </x:c>
      <x:c r="U70" s="16" t="str">
        <x:v>unique_state</x:v>
      </x:c>
      <x:c r="V70" s="22" t="str">
        <x:v>Lobo PDF pp.13–14 belong to the same original paper and are merged.</x:v>
      </x:c>
    </x:row>
    <x:row r="71" ht="39.599998474121094" hidden="0" customHeight="1">
      <x:c r="A71" s="16" t="str">
        <x:v>F40295</x:v>
      </x:c>
      <x:c r="B71" s="16" t="str">
        <x:v>LiCl-H2O</x:v>
      </x:c>
      <x:c r="C71" s="17" t="n">
        <x:v>291.15</x:v>
      </x:c>
      <x:c r="D71" s="18" t="n">
        <x:v>0.7872</x:v>
      </x:c>
      <x:c r="E71" s="19" t="n">
        <x:v>1.074</x:v>
      </x:c>
      <x:c r="F71" s="16" t="str">
        <x:v>BIB:LICL:LOBO1993:REF_087</x:v>
      </x:c>
      <x:c r="G71" s="16" t="str">
        <x:v>BIB:LICL:LOBO1993:REF_087</x:v>
      </x:c>
      <x:c r="H71" s="16" t="str">
        <x:v>bibliographic_original_study_via_compilation</x:v>
      </x:c>
      <x:c r="I71" s="16" t="str">
        <x:v>087</x:v>
      </x:c>
      <x:c r="J71" s="22" t="str">
        <x:v>V. Vitagliano, Gazz. Chim. Ital. 90, 876 (1960)</x:v>
      </x:c>
      <x:c r="K71" s="22"/>
      <x:c r="L71" s="22" t="str">
        <x:v>lobo_1993 | V. M. M. Lobo (1993) | Pure and Applied Chemistry Table 1, ref. 87, PDF p. 14; directly tabulated value</x:v>
      </x:c>
      <x:c r="M71" s="16" t="str">
        <x:v>10.1351/pac199365122613</x:v>
      </x:c>
      <x:c r="N71" s="16" t="str">
        <x:v>data_source/lobo_1993.pdf</x:v>
      </x:c>
      <x:c r="O71" s="22" t="str">
        <x:v>Lobo 1993 Table 1, PDF pp.13–14; bibliography ref.87, PDF p.27</x:v>
      </x:c>
      <x:c r="P71" s="22" t="str">
        <x:v>compilation_table_verified_original_paper_not_archived</x:v>
      </x:c>
      <x:c r="Q71" s="22" t="str">
        <x:v>conditional_exploratory_pending_original_paper_audit</x:v>
      </x:c>
      <x:c r="R71" s="16" t="str">
        <x:v>retrospective_grouped_cv_pool</x:v>
      </x:c>
      <x:c r="S71" s="16" t="str">
        <x:v>COND:291.15K:0.78720000M</x:v>
      </x:c>
      <x:c r="T71" s="20" t="n">
        <x:v>1</x:v>
      </x:c>
      <x:c r="U71" s="16" t="str">
        <x:v>unique_state</x:v>
      </x:c>
      <x:c r="V71" s="22" t="str">
        <x:v>Lobo PDF pp.13–14 belong to the same original paper and are merged.</x:v>
      </x:c>
    </x:row>
    <x:row r="72" ht="39.599998474121094" hidden="0" customHeight="1">
      <x:c r="A72" s="16" t="str">
        <x:v>F40296</x:v>
      </x:c>
      <x:c r="B72" s="16" t="str">
        <x:v>LiCl-H2O</x:v>
      </x:c>
      <x:c r="C72" s="17" t="n">
        <x:v>291.15</x:v>
      </x:c>
      <x:c r="D72" s="18" t="n">
        <x:v>0.9316</x:v>
      </x:c>
      <x:c r="E72" s="19" t="n">
        <x:v>1.081</x:v>
      </x:c>
      <x:c r="F72" s="16" t="str">
        <x:v>BIB:LICL:LOBO1993:REF_087</x:v>
      </x:c>
      <x:c r="G72" s="16" t="str">
        <x:v>BIB:LICL:LOBO1993:REF_087</x:v>
      </x:c>
      <x:c r="H72" s="16" t="str">
        <x:v>bibliographic_original_study_via_compilation</x:v>
      </x:c>
      <x:c r="I72" s="16" t="str">
        <x:v>087</x:v>
      </x:c>
      <x:c r="J72" s="22" t="str">
        <x:v>V. Vitagliano, Gazz. Chim. Ital. 90, 876 (1960)</x:v>
      </x:c>
      <x:c r="K72" s="22"/>
      <x:c r="L72" s="22" t="str">
        <x:v>lobo_1993 | V. M. M. Lobo (1993) | Pure and Applied Chemistry Table 1, ref. 87, PDF p. 14; directly tabulated value</x:v>
      </x:c>
      <x:c r="M72" s="16" t="str">
        <x:v>10.1351/pac199365122613</x:v>
      </x:c>
      <x:c r="N72" s="16" t="str">
        <x:v>data_source/lobo_1993.pdf</x:v>
      </x:c>
      <x:c r="O72" s="22" t="str">
        <x:v>Lobo 1993 Table 1, PDF pp.13–14; bibliography ref.87, PDF p.27</x:v>
      </x:c>
      <x:c r="P72" s="22" t="str">
        <x:v>compilation_table_verified_original_paper_not_archived</x:v>
      </x:c>
      <x:c r="Q72" s="22" t="str">
        <x:v>conditional_exploratory_pending_original_paper_audit</x:v>
      </x:c>
      <x:c r="R72" s="16" t="str">
        <x:v>retrospective_grouped_cv_pool</x:v>
      </x:c>
      <x:c r="S72" s="16" t="str">
        <x:v>COND:291.15K:0.93160000M</x:v>
      </x:c>
      <x:c r="T72" s="20" t="n">
        <x:v>1</x:v>
      </x:c>
      <x:c r="U72" s="16" t="str">
        <x:v>unique_state</x:v>
      </x:c>
      <x:c r="V72" s="22" t="str">
        <x:v>Lobo PDF pp.13–14 belong to the same original paper and are merged.</x:v>
      </x:c>
    </x:row>
    <x:row r="73" ht="39.599998474121094" hidden="0" customHeight="1">
      <x:c r="A73" s="16" t="str">
        <x:v>F40297</x:v>
      </x:c>
      <x:c r="B73" s="16" t="str">
        <x:v>LiCl-H2O</x:v>
      </x:c>
      <x:c r="C73" s="17" t="n">
        <x:v>291.15</x:v>
      </x:c>
      <x:c r="D73" s="18" t="n">
        <x:v>1.311</x:v>
      </x:c>
      <x:c r="E73" s="19" t="n">
        <x:v>1.104</x:v>
      </x:c>
      <x:c r="F73" s="16" t="str">
        <x:v>BIB:LICL:LOBO1993:REF_087</x:v>
      </x:c>
      <x:c r="G73" s="16" t="str">
        <x:v>BIB:LICL:LOBO1993:REF_087</x:v>
      </x:c>
      <x:c r="H73" s="16" t="str">
        <x:v>bibliographic_original_study_via_compilation</x:v>
      </x:c>
      <x:c r="I73" s="16" t="str">
        <x:v>087</x:v>
      </x:c>
      <x:c r="J73" s="22" t="str">
        <x:v>V. Vitagliano, Gazz. Chim. Ital. 90, 876 (1960)</x:v>
      </x:c>
      <x:c r="K73" s="22"/>
      <x:c r="L73" s="22" t="str">
        <x:v>lobo_1993 | V. M. M. Lobo (1993) | Pure and Applied Chemistry Table 1, ref. 87, PDF p. 14; directly tabulated value</x:v>
      </x:c>
      <x:c r="M73" s="16" t="str">
        <x:v>10.1351/pac199365122613</x:v>
      </x:c>
      <x:c r="N73" s="16" t="str">
        <x:v>data_source/lobo_1993.pdf</x:v>
      </x:c>
      <x:c r="O73" s="22" t="str">
        <x:v>Lobo 1993 Table 1, PDF pp.13–14; bibliography ref.87, PDF p.27</x:v>
      </x:c>
      <x:c r="P73" s="22" t="str">
        <x:v>compilation_table_verified_original_paper_not_archived</x:v>
      </x:c>
      <x:c r="Q73" s="22" t="str">
        <x:v>conditional_exploratory_pending_original_paper_audit</x:v>
      </x:c>
      <x:c r="R73" s="16" t="str">
        <x:v>retrospective_grouped_cv_pool</x:v>
      </x:c>
      <x:c r="S73" s="16" t="str">
        <x:v>COND:291.15K:1.31100000M</x:v>
      </x:c>
      <x:c r="T73" s="20" t="n">
        <x:v>1</x:v>
      </x:c>
      <x:c r="U73" s="16" t="str">
        <x:v>unique_state</x:v>
      </x:c>
      <x:c r="V73" s="22" t="str">
        <x:v>Lobo PDF pp.13–14 belong to the same original paper and are merged.</x:v>
      </x:c>
    </x:row>
    <x:row r="74" ht="39.599998474121094" hidden="0" customHeight="1">
      <x:c r="A74" s="16" t="str">
        <x:v>F40298</x:v>
      </x:c>
      <x:c r="B74" s="16" t="str">
        <x:v>LiCl-H2O</x:v>
      </x:c>
      <x:c r="C74" s="17" t="n">
        <x:v>291.15</x:v>
      </x:c>
      <x:c r="D74" s="18" t="n">
        <x:v>1.9243</x:v>
      </x:c>
      <x:c r="E74" s="19" t="n">
        <x:v>1.145</x:v>
      </x:c>
      <x:c r="F74" s="16" t="str">
        <x:v>BIB:LICL:LOBO1993:REF_087</x:v>
      </x:c>
      <x:c r="G74" s="16" t="str">
        <x:v>BIB:LICL:LOBO1993:REF_087</x:v>
      </x:c>
      <x:c r="H74" s="16" t="str">
        <x:v>bibliographic_original_study_via_compilation</x:v>
      </x:c>
      <x:c r="I74" s="16" t="str">
        <x:v>087</x:v>
      </x:c>
      <x:c r="J74" s="22" t="str">
        <x:v>V. Vitagliano, Gazz. Chim. Ital. 90, 876 (1960)</x:v>
      </x:c>
      <x:c r="K74" s="22"/>
      <x:c r="L74" s="22" t="str">
        <x:v>lobo_1993 | V. M. M. Lobo (1993) | Pure and Applied Chemistry Table 1, ref. 87, PDF p. 14; directly tabulated value</x:v>
      </x:c>
      <x:c r="M74" s="16" t="str">
        <x:v>10.1351/pac199365122613</x:v>
      </x:c>
      <x:c r="N74" s="16" t="str">
        <x:v>data_source/lobo_1993.pdf</x:v>
      </x:c>
      <x:c r="O74" s="22" t="str">
        <x:v>Lobo 1993 Table 1, PDF pp.13–14; bibliography ref.87, PDF p.27</x:v>
      </x:c>
      <x:c r="P74" s="22" t="str">
        <x:v>compilation_table_verified_original_paper_not_archived</x:v>
      </x:c>
      <x:c r="Q74" s="22" t="str">
        <x:v>conditional_exploratory_pending_original_paper_audit</x:v>
      </x:c>
      <x:c r="R74" s="16" t="str">
        <x:v>retrospective_grouped_cv_pool</x:v>
      </x:c>
      <x:c r="S74" s="16" t="str">
        <x:v>COND:291.15K:1.92430000M</x:v>
      </x:c>
      <x:c r="T74" s="20" t="n">
        <x:v>1</x:v>
      </x:c>
      <x:c r="U74" s="16" t="str">
        <x:v>unique_state</x:v>
      </x:c>
      <x:c r="V74" s="22" t="str">
        <x:v>Lobo PDF pp.13–14 belong to the same original paper and are merged.</x:v>
      </x:c>
    </x:row>
    <x:row r="75" ht="39.599998474121094" hidden="0" customHeight="1">
      <x:c r="A75" s="16" t="str">
        <x:v>F40299</x:v>
      </x:c>
      <x:c r="B75" s="16" t="str">
        <x:v>LiCl-H2O</x:v>
      </x:c>
      <x:c r="C75" s="17" t="n">
        <x:v>291.15</x:v>
      </x:c>
      <x:c r="D75" s="18" t="n">
        <x:v>1.9271</x:v>
      </x:c>
      <x:c r="E75" s="19" t="n">
        <x:v>1.145</x:v>
      </x:c>
      <x:c r="F75" s="16" t="str">
        <x:v>BIB:LICL:LOBO1993:REF_087</x:v>
      </x:c>
      <x:c r="G75" s="16" t="str">
        <x:v>BIB:LICL:LOBO1993:REF_087</x:v>
      </x:c>
      <x:c r="H75" s="16" t="str">
        <x:v>bibliographic_original_study_via_compilation</x:v>
      </x:c>
      <x:c r="I75" s="16" t="str">
        <x:v>087</x:v>
      </x:c>
      <x:c r="J75" s="22" t="str">
        <x:v>V. Vitagliano, Gazz. Chim. Ital. 90, 876 (1960)</x:v>
      </x:c>
      <x:c r="K75" s="22"/>
      <x:c r="L75" s="22" t="str">
        <x:v>lobo_1993 | V. M. M. Lobo (1993) | Pure and Applied Chemistry Table 1, ref. 87, PDF p. 14; directly tabulated value</x:v>
      </x:c>
      <x:c r="M75" s="16" t="str">
        <x:v>10.1351/pac199365122613</x:v>
      </x:c>
      <x:c r="N75" s="16" t="str">
        <x:v>data_source/lobo_1993.pdf</x:v>
      </x:c>
      <x:c r="O75" s="22" t="str">
        <x:v>Lobo 1993 Table 1, PDF pp.13–14; bibliography ref.87, PDF p.27</x:v>
      </x:c>
      <x:c r="P75" s="22" t="str">
        <x:v>compilation_table_verified_original_paper_not_archived</x:v>
      </x:c>
      <x:c r="Q75" s="22" t="str">
        <x:v>conditional_exploratory_pending_original_paper_audit</x:v>
      </x:c>
      <x:c r="R75" s="16" t="str">
        <x:v>retrospective_grouped_cv_pool</x:v>
      </x:c>
      <x:c r="S75" s="16" t="str">
        <x:v>COND:291.15K:1.92710000M</x:v>
      </x:c>
      <x:c r="T75" s="20" t="n">
        <x:v>1</x:v>
      </x:c>
      <x:c r="U75" s="16" t="str">
        <x:v>unique_state</x:v>
      </x:c>
      <x:c r="V75" s="22" t="str">
        <x:v>Lobo PDF pp.13–14 belong to the same original paper and are merged.</x:v>
      </x:c>
    </x:row>
    <x:row r="76" ht="39.599998474121094" hidden="0" customHeight="1">
      <x:c r="A76" s="16" t="str">
        <x:v>F40300</x:v>
      </x:c>
      <x:c r="B76" s="16" t="str">
        <x:v>LiCl-H2O</x:v>
      </x:c>
      <x:c r="C76" s="17" t="n">
        <x:v>291.15</x:v>
      </x:c>
      <x:c r="D76" s="18" t="n">
        <x:v>2.3442</x:v>
      </x:c>
      <x:c r="E76" s="19" t="n">
        <x:v>1.166</x:v>
      </x:c>
      <x:c r="F76" s="16" t="str">
        <x:v>BIB:LICL:LOBO1993:REF_087</x:v>
      </x:c>
      <x:c r="G76" s="16" t="str">
        <x:v>BIB:LICL:LOBO1993:REF_087</x:v>
      </x:c>
      <x:c r="H76" s="16" t="str">
        <x:v>bibliographic_original_study_via_compilation</x:v>
      </x:c>
      <x:c r="I76" s="16" t="str">
        <x:v>087</x:v>
      </x:c>
      <x:c r="J76" s="22" t="str">
        <x:v>V. Vitagliano, Gazz. Chim. Ital. 90, 876 (1960)</x:v>
      </x:c>
      <x:c r="K76" s="22"/>
      <x:c r="L76" s="22" t="str">
        <x:v>lobo_1993 | V. M. M. Lobo (1993) | Pure and Applied Chemistry Table 1, ref. 87, PDF p. 14; directly tabulated value</x:v>
      </x:c>
      <x:c r="M76" s="16" t="str">
        <x:v>10.1351/pac199365122613</x:v>
      </x:c>
      <x:c r="N76" s="16" t="str">
        <x:v>data_source/lobo_1993.pdf</x:v>
      </x:c>
      <x:c r="O76" s="22" t="str">
        <x:v>Lobo 1993 Table 1, PDF pp.13–14; bibliography ref.87, PDF p.27</x:v>
      </x:c>
      <x:c r="P76" s="22" t="str">
        <x:v>compilation_table_verified_original_paper_not_archived</x:v>
      </x:c>
      <x:c r="Q76" s="22" t="str">
        <x:v>conditional_exploratory_pending_original_paper_audit</x:v>
      </x:c>
      <x:c r="R76" s="16" t="str">
        <x:v>retrospective_grouped_cv_pool</x:v>
      </x:c>
      <x:c r="S76" s="16" t="str">
        <x:v>COND:291.15K:2.34420000M</x:v>
      </x:c>
      <x:c r="T76" s="20" t="n">
        <x:v>1</x:v>
      </x:c>
      <x:c r="U76" s="16" t="str">
        <x:v>unique_state</x:v>
      </x:c>
      <x:c r="V76" s="22" t="str">
        <x:v>Lobo PDF pp.13–14 belong to the same original paper and are merged.</x:v>
      </x:c>
    </x:row>
    <x:row r="77" ht="39.599998474121094" hidden="0" customHeight="1">
      <x:c r="A77" s="16" t="str">
        <x:v>F40301</x:v>
      </x:c>
      <x:c r="B77" s="16" t="str">
        <x:v>LiCl-H2O</x:v>
      </x:c>
      <x:c r="C77" s="17" t="n">
        <x:v>291.15</x:v>
      </x:c>
      <x:c r="D77" s="18" t="n">
        <x:v>2.3741</x:v>
      </x:c>
      <x:c r="E77" s="19" t="n">
        <x:v>1.17</x:v>
      </x:c>
      <x:c r="F77" s="16" t="str">
        <x:v>BIB:LICL:LOBO1993:REF_087</x:v>
      </x:c>
      <x:c r="G77" s="16" t="str">
        <x:v>BIB:LICL:LOBO1993:REF_087</x:v>
      </x:c>
      <x:c r="H77" s="16" t="str">
        <x:v>bibliographic_original_study_via_compilation</x:v>
      </x:c>
      <x:c r="I77" s="16" t="str">
        <x:v>087</x:v>
      </x:c>
      <x:c r="J77" s="22" t="str">
        <x:v>V. Vitagliano, Gazz. Chim. Ital. 90, 876 (1960)</x:v>
      </x:c>
      <x:c r="K77" s="22"/>
      <x:c r="L77" s="22" t="str">
        <x:v>lobo_1993 | V. M. M. Lobo (1993) | Pure and Applied Chemistry Table 1, ref. 87, PDF p. 14; directly tabulated value</x:v>
      </x:c>
      <x:c r="M77" s="16" t="str">
        <x:v>10.1351/pac199365122613</x:v>
      </x:c>
      <x:c r="N77" s="16" t="str">
        <x:v>data_source/lobo_1993.pdf</x:v>
      </x:c>
      <x:c r="O77" s="22" t="str">
        <x:v>Lobo 1993 Table 1, PDF pp.13–14; bibliography ref.87, PDF p.27</x:v>
      </x:c>
      <x:c r="P77" s="22" t="str">
        <x:v>compilation_table_verified_original_paper_not_archived</x:v>
      </x:c>
      <x:c r="Q77" s="22" t="str">
        <x:v>conditional_exploratory_pending_original_paper_audit</x:v>
      </x:c>
      <x:c r="R77" s="16" t="str">
        <x:v>retrospective_grouped_cv_pool</x:v>
      </x:c>
      <x:c r="S77" s="16" t="str">
        <x:v>COND:291.15K:2.37410000M</x:v>
      </x:c>
      <x:c r="T77" s="20" t="n">
        <x:v>1</x:v>
      </x:c>
      <x:c r="U77" s="16" t="str">
        <x:v>unique_state</x:v>
      </x:c>
      <x:c r="V77" s="22" t="str">
        <x:v>Lobo PDF pp.13–14 belong to the same original paper and are merged.</x:v>
      </x:c>
    </x:row>
    <x:row r="78" ht="39.599998474121094" hidden="0" customHeight="1">
      <x:c r="A78" s="16" t="str">
        <x:v>F40302</x:v>
      </x:c>
      <x:c r="B78" s="16" t="str">
        <x:v>LiCl-H2O</x:v>
      </x:c>
      <x:c r="C78" s="17" t="n">
        <x:v>291.15</x:v>
      </x:c>
      <x:c r="D78" s="18" t="n">
        <x:v>2.831</x:v>
      </x:c>
      <x:c r="E78" s="19" t="n">
        <x:v>1.1925</x:v>
      </x:c>
      <x:c r="F78" s="16" t="str">
        <x:v>BIB:LICL:LOBO1993:REF_087</x:v>
      </x:c>
      <x:c r="G78" s="16" t="str">
        <x:v>BIB:LICL:LOBO1993:REF_087</x:v>
      </x:c>
      <x:c r="H78" s="16" t="str">
        <x:v>bibliographic_original_study_via_compilation</x:v>
      </x:c>
      <x:c r="I78" s="16" t="str">
        <x:v>087</x:v>
      </x:c>
      <x:c r="J78" s="22" t="str">
        <x:v>V. Vitagliano, Gazz. Chim. Ital. 90, 876 (1960)</x:v>
      </x:c>
      <x:c r="K78" s="22"/>
      <x:c r="L78" s="22" t="str">
        <x:v>lobo_1993 | V. M. M. Lobo (1993) | Pure and Applied Chemistry Table 1, ref. 87, PDF p. 14; directly tabulated value</x:v>
      </x:c>
      <x:c r="M78" s="16" t="str">
        <x:v>10.1351/pac199365122613</x:v>
      </x:c>
      <x:c r="N78" s="16" t="str">
        <x:v>data_source/lobo_1993.pdf</x:v>
      </x:c>
      <x:c r="O78" s="22" t="str">
        <x:v>Lobo 1993 Table 1, PDF pp.13–14; bibliography ref.87, PDF p.27</x:v>
      </x:c>
      <x:c r="P78" s="22" t="str">
        <x:v>compilation_table_verified_original_paper_not_archived</x:v>
      </x:c>
      <x:c r="Q78" s="22" t="str">
        <x:v>conditional_exploratory_pending_original_paper_audit</x:v>
      </x:c>
      <x:c r="R78" s="16" t="str">
        <x:v>retrospective_grouped_cv_pool</x:v>
      </x:c>
      <x:c r="S78" s="16" t="str">
        <x:v>COND:291.15K:2.83100000M</x:v>
      </x:c>
      <x:c r="T78" s="20" t="n">
        <x:v>1</x:v>
      </x:c>
      <x:c r="U78" s="16" t="str">
        <x:v>unique_state</x:v>
      </x:c>
      <x:c r="V78" s="22" t="str">
        <x:v>Lobo PDF pp.13–14 belong to the same original paper and are merged.</x:v>
      </x:c>
    </x:row>
    <x:row r="79" ht="39.599998474121094" hidden="0" customHeight="1">
      <x:c r="A79" s="16" t="str">
        <x:v>F40303</x:v>
      </x:c>
      <x:c r="B79" s="16" t="str">
        <x:v>LiCl-H2O</x:v>
      </x:c>
      <x:c r="C79" s="17" t="n">
        <x:v>291.15</x:v>
      </x:c>
      <x:c r="D79" s="18" t="n">
        <x:v>3.2711</x:v>
      </x:c>
      <x:c r="E79" s="19" t="n">
        <x:v>1.212</x:v>
      </x:c>
      <x:c r="F79" s="16" t="str">
        <x:v>BIB:LICL:LOBO1993:REF_087</x:v>
      </x:c>
      <x:c r="G79" s="16" t="str">
        <x:v>BIB:LICL:LOBO1993:REF_087</x:v>
      </x:c>
      <x:c r="H79" s="16" t="str">
        <x:v>bibliographic_original_study_via_compilation</x:v>
      </x:c>
      <x:c r="I79" s="16" t="str">
        <x:v>087</x:v>
      </x:c>
      <x:c r="J79" s="22" t="str">
        <x:v>V. Vitagliano, Gazz. Chim. Ital. 90, 876 (1960)</x:v>
      </x:c>
      <x:c r="K79" s="22"/>
      <x:c r="L79" s="22" t="str">
        <x:v>lobo_1993 | V. M. M. Lobo (1993) | Pure and Applied Chemistry Table 1, ref. 87, PDF p. 14; directly tabulated value</x:v>
      </x:c>
      <x:c r="M79" s="16" t="str">
        <x:v>10.1351/pac199365122613</x:v>
      </x:c>
      <x:c r="N79" s="16" t="str">
        <x:v>data_source/lobo_1993.pdf</x:v>
      </x:c>
      <x:c r="O79" s="22" t="str">
        <x:v>Lobo 1993 Table 1, PDF pp.13–14; bibliography ref.87, PDF p.27</x:v>
      </x:c>
      <x:c r="P79" s="22" t="str">
        <x:v>compilation_table_verified_original_paper_not_archived</x:v>
      </x:c>
      <x:c r="Q79" s="22" t="str">
        <x:v>conditional_exploratory_pending_original_paper_audit</x:v>
      </x:c>
      <x:c r="R79" s="16" t="str">
        <x:v>retrospective_grouped_cv_pool</x:v>
      </x:c>
      <x:c r="S79" s="16" t="str">
        <x:v>COND:291.15K:3.27110000M</x:v>
      </x:c>
      <x:c r="T79" s="20" t="n">
        <x:v>1</x:v>
      </x:c>
      <x:c r="U79" s="16" t="str">
        <x:v>unique_state</x:v>
      </x:c>
      <x:c r="V79" s="22" t="str">
        <x:v>Lobo PDF pp.13–14 belong to the same original paper and are merged.</x:v>
      </x:c>
    </x:row>
    <x:row r="80" ht="39.599998474121094" hidden="0" customHeight="1">
      <x:c r="A80" s="16" t="str">
        <x:v>F40304</x:v>
      </x:c>
      <x:c r="B80" s="16" t="str">
        <x:v>LiCl-H2O</x:v>
      </x:c>
      <x:c r="C80" s="17" t="n">
        <x:v>291.15</x:v>
      </x:c>
      <x:c r="D80" s="18" t="n">
        <x:v>4.2264</x:v>
      </x:c>
      <x:c r="E80" s="19" t="n">
        <x:v>1.241</x:v>
      </x:c>
      <x:c r="F80" s="16" t="str">
        <x:v>BIB:LICL:LOBO1993:REF_087</x:v>
      </x:c>
      <x:c r="G80" s="16" t="str">
        <x:v>BIB:LICL:LOBO1993:REF_087</x:v>
      </x:c>
      <x:c r="H80" s="16" t="str">
        <x:v>bibliographic_original_study_via_compilation</x:v>
      </x:c>
      <x:c r="I80" s="16" t="str">
        <x:v>087</x:v>
      </x:c>
      <x:c r="J80" s="22" t="str">
        <x:v>V. Vitagliano, Gazz. Chim. Ital. 90, 876 (1960)</x:v>
      </x:c>
      <x:c r="K80" s="22"/>
      <x:c r="L80" s="22" t="str">
        <x:v>lobo_1993 | V. M. M. Lobo (1993) | Pure and Applied Chemistry Table 1, ref. 87, PDF p. 14; directly tabulated value</x:v>
      </x:c>
      <x:c r="M80" s="16" t="str">
        <x:v>10.1351/pac199365122613</x:v>
      </x:c>
      <x:c r="N80" s="16" t="str">
        <x:v>data_source/lobo_1993.pdf</x:v>
      </x:c>
      <x:c r="O80" s="22" t="str">
        <x:v>Lobo 1993 Table 1, PDF pp.13–14; bibliography ref.87, PDF p.27</x:v>
      </x:c>
      <x:c r="P80" s="22" t="str">
        <x:v>compilation_table_verified_original_paper_not_archived</x:v>
      </x:c>
      <x:c r="Q80" s="22" t="str">
        <x:v>conditional_exploratory_pending_original_paper_audit</x:v>
      </x:c>
      <x:c r="R80" s="16" t="str">
        <x:v>retrospective_grouped_cv_pool</x:v>
      </x:c>
      <x:c r="S80" s="16" t="str">
        <x:v>COND:291.15K:4.22640000M</x:v>
      </x:c>
      <x:c r="T80" s="20" t="n">
        <x:v>1</x:v>
      </x:c>
      <x:c r="U80" s="16" t="str">
        <x:v>unique_state</x:v>
      </x:c>
      <x:c r="V80" s="22" t="str">
        <x:v>Lobo PDF pp.13–14 belong to the same original paper and are merged.</x:v>
      </x:c>
    </x:row>
    <x:row r="81" ht="39.599998474121094" hidden="0" customHeight="1">
      <x:c r="A81" s="16" t="str">
        <x:v>F40305</x:v>
      </x:c>
      <x:c r="B81" s="16" t="str">
        <x:v>LiCl-H2O</x:v>
      </x:c>
      <x:c r="C81" s="17" t="n">
        <x:v>291.15</x:v>
      </x:c>
      <x:c r="D81" s="18" t="n">
        <x:v>4.9458</x:v>
      </x:c>
      <x:c r="E81" s="19" t="n">
        <x:v>1.258</x:v>
      </x:c>
      <x:c r="F81" s="16" t="str">
        <x:v>BIB:LICL:LOBO1993:REF_087</x:v>
      </x:c>
      <x:c r="G81" s="16" t="str">
        <x:v>BIB:LICL:LOBO1993:REF_087</x:v>
      </x:c>
      <x:c r="H81" s="16" t="str">
        <x:v>bibliographic_original_study_via_compilation</x:v>
      </x:c>
      <x:c r="I81" s="16" t="str">
        <x:v>087</x:v>
      </x:c>
      <x:c r="J81" s="22" t="str">
        <x:v>V. Vitagliano, Gazz. Chim. Ital. 90, 876 (1960)</x:v>
      </x:c>
      <x:c r="K81" s="22"/>
      <x:c r="L81" s="22" t="str">
        <x:v>lobo_1993 | V. M. M. Lobo (1993) | Pure and Applied Chemistry Table 1, ref. 87, PDF p. 14; directly tabulated value</x:v>
      </x:c>
      <x:c r="M81" s="16" t="str">
        <x:v>10.1351/pac199365122613</x:v>
      </x:c>
      <x:c r="N81" s="16" t="str">
        <x:v>data_source/lobo_1993.pdf</x:v>
      </x:c>
      <x:c r="O81" s="22" t="str">
        <x:v>Lobo 1993 Table 1, PDF pp.13–14; bibliography ref.87, PDF p.27</x:v>
      </x:c>
      <x:c r="P81" s="22" t="str">
        <x:v>compilation_table_verified_original_paper_not_archived</x:v>
      </x:c>
      <x:c r="Q81" s="22" t="str">
        <x:v>conditional_exploratory_pending_original_paper_audit</x:v>
      </x:c>
      <x:c r="R81" s="16" t="str">
        <x:v>retrospective_grouped_cv_pool</x:v>
      </x:c>
      <x:c r="S81" s="16" t="str">
        <x:v>COND:291.15K:4.94580000M</x:v>
      </x:c>
      <x:c r="T81" s="20" t="n">
        <x:v>1</x:v>
      </x:c>
      <x:c r="U81" s="16" t="str">
        <x:v>unique_state</x:v>
      </x:c>
      <x:c r="V81" s="22" t="str">
        <x:v>Lobo PDF pp.13–14 belong to the same original paper and are merged.</x:v>
      </x:c>
    </x:row>
    <x:row r="82" ht="39.599998474121094" hidden="0" customHeight="1">
      <x:c r="A82" s="16" t="str">
        <x:v>F40306</x:v>
      </x:c>
      <x:c r="B82" s="16" t="str">
        <x:v>LiCl-H2O</x:v>
      </x:c>
      <x:c r="C82" s="17" t="n">
        <x:v>291.15</x:v>
      </x:c>
      <x:c r="D82" s="18" t="n">
        <x:v>5.342</x:v>
      </x:c>
      <x:c r="E82" s="19" t="n">
        <x:v>1.262</x:v>
      </x:c>
      <x:c r="F82" s="16" t="str">
        <x:v>BIB:LICL:LOBO1993:REF_087</x:v>
      </x:c>
      <x:c r="G82" s="16" t="str">
        <x:v>BIB:LICL:LOBO1993:REF_087</x:v>
      </x:c>
      <x:c r="H82" s="16" t="str">
        <x:v>bibliographic_original_study_via_compilation</x:v>
      </x:c>
      <x:c r="I82" s="16" t="str">
        <x:v>087</x:v>
      </x:c>
      <x:c r="J82" s="22" t="str">
        <x:v>V. Vitagliano, Gazz. Chim. Ital. 90, 876 (1960)</x:v>
      </x:c>
      <x:c r="K82" s="22"/>
      <x:c r="L82" s="22" t="str">
        <x:v>lobo_1993 | V. M. M. Lobo (1993) | Pure and Applied Chemistry Table 1, ref. 87, PDF p. 14; directly tabulated value</x:v>
      </x:c>
      <x:c r="M82" s="16" t="str">
        <x:v>10.1351/pac199365122613</x:v>
      </x:c>
      <x:c r="N82" s="16" t="str">
        <x:v>data_source/lobo_1993.pdf</x:v>
      </x:c>
      <x:c r="O82" s="22" t="str">
        <x:v>Lobo 1993 Table 1, PDF pp.13–14; bibliography ref.87, PDF p.27</x:v>
      </x:c>
      <x:c r="P82" s="22" t="str">
        <x:v>compilation_table_verified_original_paper_not_archived</x:v>
      </x:c>
      <x:c r="Q82" s="22" t="str">
        <x:v>conditional_exploratory_pending_original_paper_audit</x:v>
      </x:c>
      <x:c r="R82" s="16" t="str">
        <x:v>retrospective_grouped_cv_pool</x:v>
      </x:c>
      <x:c r="S82" s="16" t="str">
        <x:v>COND:291.15K:5.34200000M</x:v>
      </x:c>
      <x:c r="T82" s="20" t="n">
        <x:v>1</x:v>
      </x:c>
      <x:c r="U82" s="16" t="str">
        <x:v>unique_state</x:v>
      </x:c>
      <x:c r="V82" s="22" t="str">
        <x:v>Lobo PDF pp.13–14 belong to the same original paper and are merged.</x:v>
      </x:c>
    </x:row>
    <x:row r="83" ht="39.599998474121094" hidden="0" customHeight="1">
      <x:c r="A83" s="16" t="str">
        <x:v>F40307</x:v>
      </x:c>
      <x:c r="B83" s="16" t="str">
        <x:v>LiCl-H2O</x:v>
      </x:c>
      <x:c r="C83" s="17" t="n">
        <x:v>291.15</x:v>
      </x:c>
      <x:c r="D83" s="18" t="n">
        <x:v>6.1189</x:v>
      </x:c>
      <x:c r="E83" s="19" t="n">
        <x:v>1.235</x:v>
      </x:c>
      <x:c r="F83" s="16" t="str">
        <x:v>BIB:LICL:LOBO1993:REF_087</x:v>
      </x:c>
      <x:c r="G83" s="16" t="str">
        <x:v>BIB:LICL:LOBO1993:REF_087</x:v>
      </x:c>
      <x:c r="H83" s="16" t="str">
        <x:v>bibliographic_original_study_via_compilation</x:v>
      </x:c>
      <x:c r="I83" s="16" t="str">
        <x:v>087</x:v>
      </x:c>
      <x:c r="J83" s="22" t="str">
        <x:v>V. Vitagliano, Gazz. Chim. Ital. 90, 876 (1960)</x:v>
      </x:c>
      <x:c r="K83" s="22"/>
      <x:c r="L83" s="22" t="str">
        <x:v>lobo_1993 | V. M. M. Lobo (1993) | Pure and Applied Chemistry Table 1, ref. 87, PDF p. 14; directly tabulated value</x:v>
      </x:c>
      <x:c r="M83" s="16" t="str">
        <x:v>10.1351/pac199365122613</x:v>
      </x:c>
      <x:c r="N83" s="16" t="str">
        <x:v>data_source/lobo_1993.pdf</x:v>
      </x:c>
      <x:c r="O83" s="22" t="str">
        <x:v>Lobo 1993 Table 1, PDF pp.13–14; bibliography ref.87, PDF p.27</x:v>
      </x:c>
      <x:c r="P83" s="22" t="str">
        <x:v>compilation_table_verified_original_paper_not_archived</x:v>
      </x:c>
      <x:c r="Q83" s="22" t="str">
        <x:v>conditional_exploratory_pending_original_paper_audit</x:v>
      </x:c>
      <x:c r="R83" s="16" t="str">
        <x:v>retrospective_grouped_cv_pool</x:v>
      </x:c>
      <x:c r="S83" s="16" t="str">
        <x:v>COND:291.15K:6.11890000M</x:v>
      </x:c>
      <x:c r="T83" s="20" t="n">
        <x:v>1</x:v>
      </x:c>
      <x:c r="U83" s="16" t="str">
        <x:v>unique_state</x:v>
      </x:c>
      <x:c r="V83" s="22" t="str">
        <x:v>Lobo PDF pp.13–14 belong to the same original paper and are merged.</x:v>
      </x:c>
    </x:row>
    <x:row r="84" ht="39.599998474121094" hidden="0" customHeight="1">
      <x:c r="A84" s="16" t="str">
        <x:v>F40308</x:v>
      </x:c>
      <x:c r="B84" s="16" t="str">
        <x:v>LiCl-H2O</x:v>
      </x:c>
      <x:c r="C84" s="17" t="n">
        <x:v>291.15</x:v>
      </x:c>
      <x:c r="D84" s="18" t="n">
        <x:v>6.8638</x:v>
      </x:c>
      <x:c r="E84" s="19" t="n">
        <x:v>1.185</x:v>
      </x:c>
      <x:c r="F84" s="16" t="str">
        <x:v>BIB:LICL:LOBO1993:REF_087</x:v>
      </x:c>
      <x:c r="G84" s="16" t="str">
        <x:v>BIB:LICL:LOBO1993:REF_087</x:v>
      </x:c>
      <x:c r="H84" s="16" t="str">
        <x:v>bibliographic_original_study_via_compilation</x:v>
      </x:c>
      <x:c r="I84" s="16" t="str">
        <x:v>087</x:v>
      </x:c>
      <x:c r="J84" s="22" t="str">
        <x:v>V. Vitagliano, Gazz. Chim. Ital. 90, 876 (1960)</x:v>
      </x:c>
      <x:c r="K84" s="22"/>
      <x:c r="L84" s="22" t="str">
        <x:v>lobo_1993 | V. M. M. Lobo (1993) | Pure and Applied Chemistry Table 1, ref. 87, PDF p. 14; directly tabulated value</x:v>
      </x:c>
      <x:c r="M84" s="16" t="str">
        <x:v>10.1351/pac199365122613</x:v>
      </x:c>
      <x:c r="N84" s="16" t="str">
        <x:v>data_source/lobo_1993.pdf</x:v>
      </x:c>
      <x:c r="O84" s="22" t="str">
        <x:v>Lobo 1993 Table 1, PDF pp.13–14; bibliography ref.87, PDF p.27</x:v>
      </x:c>
      <x:c r="P84" s="22" t="str">
        <x:v>compilation_table_verified_original_paper_not_archived</x:v>
      </x:c>
      <x:c r="Q84" s="22" t="str">
        <x:v>conditional_exploratory_pending_original_paper_audit</x:v>
      </x:c>
      <x:c r="R84" s="16" t="str">
        <x:v>retrospective_grouped_cv_pool</x:v>
      </x:c>
      <x:c r="S84" s="16" t="str">
        <x:v>COND:291.15K:6.86380000M</x:v>
      </x:c>
      <x:c r="T84" s="20" t="n">
        <x:v>1</x:v>
      </x:c>
      <x:c r="U84" s="16" t="str">
        <x:v>unique_state</x:v>
      </x:c>
      <x:c r="V84" s="22" t="str">
        <x:v>Lobo PDF pp.13–14 belong to the same original paper and are merged.</x:v>
      </x:c>
    </x:row>
    <x:row r="85" ht="39.599998474121094" hidden="0" customHeight="1">
      <x:c r="A85" s="16" t="str">
        <x:v>F40338</x:v>
      </x:c>
      <x:c r="B85" s="16" t="str">
        <x:v>LiCl-H2O</x:v>
      </x:c>
      <x:c r="C85" s="17" t="n">
        <x:v>298.15</x:v>
      </x:c>
      <x:c r="D85" s="18" t="n">
        <x:v>0.1174</x:v>
      </x:c>
      <x:c r="E85" s="19" t="n">
        <x:v>1.267</x:v>
      </x:c>
      <x:c r="F85" s="16" t="str">
        <x:v>BIB:LICL:LOBO1993:REF_087</x:v>
      </x:c>
      <x:c r="G85" s="16" t="str">
        <x:v>BIB:LICL:LOBO1993:REF_087</x:v>
      </x:c>
      <x:c r="H85" s="16" t="str">
        <x:v>bibliographic_original_study_via_compilation</x:v>
      </x:c>
      <x:c r="I85" s="16" t="str">
        <x:v>087</x:v>
      </x:c>
      <x:c r="J85" s="22" t="str">
        <x:v>V. Vitagliano, Gazz. Chim. Ital. 90, 876 (1960)</x:v>
      </x:c>
      <x:c r="K85" s="22"/>
      <x:c r="L85" s="22" t="str">
        <x:v>lobo_1993 | V. M. M. Lobo (1993) | Pure and Applied Chemistry Table 1, ref. 87, PDF p. 14; directly tabulated value</x:v>
      </x:c>
      <x:c r="M85" s="16" t="str">
        <x:v>10.1351/pac199365122613</x:v>
      </x:c>
      <x:c r="N85" s="16" t="str">
        <x:v>data_source/lobo_1993.pdf</x:v>
      </x:c>
      <x:c r="O85" s="22" t="str">
        <x:v>Lobo 1993 Table 1, PDF pp.13–14; bibliography ref.87, PDF p.27</x:v>
      </x:c>
      <x:c r="P85" s="22" t="str">
        <x:v>compilation_table_verified_original_paper_not_archived</x:v>
      </x:c>
      <x:c r="Q85" s="22" t="str">
        <x:v>conditional_exploratory_pending_original_paper_audit</x:v>
      </x:c>
      <x:c r="R85" s="16" t="str">
        <x:v>retrospective_grouped_cv_pool</x:v>
      </x:c>
      <x:c r="S85" s="16" t="str">
        <x:v>COND:298.15K:0.11740000M</x:v>
      </x:c>
      <x:c r="T85" s="20" t="n">
        <x:v>1</x:v>
      </x:c>
      <x:c r="U85" s="16" t="str">
        <x:v>unique_state</x:v>
      </x:c>
      <x:c r="V85" s="22" t="str">
        <x:v>Lobo PDF pp.13–14 belong to the same original paper and are merged.</x:v>
      </x:c>
    </x:row>
    <x:row r="86" ht="39.599998474121094" hidden="0" customHeight="1">
      <x:c r="A86" s="16" t="str">
        <x:v>F40339</x:v>
      </x:c>
      <x:c r="B86" s="16" t="str">
        <x:v>LiCl-H2O</x:v>
      </x:c>
      <x:c r="C86" s="17" t="n">
        <x:v>298.15</x:v>
      </x:c>
      <x:c r="D86" s="18" t="n">
        <x:v>0.128</x:v>
      </x:c>
      <x:c r="E86" s="19" t="n">
        <x:v>1.262</x:v>
      </x:c>
      <x:c r="F86" s="16" t="str">
        <x:v>BIB:LICL:LOBO1993:REF_087</x:v>
      </x:c>
      <x:c r="G86" s="16" t="str">
        <x:v>BIB:LICL:LOBO1993:REF_087</x:v>
      </x:c>
      <x:c r="H86" s="16" t="str">
        <x:v>bibliographic_original_study_via_compilation</x:v>
      </x:c>
      <x:c r="I86" s="16" t="str">
        <x:v>087</x:v>
      </x:c>
      <x:c r="J86" s="22" t="str">
        <x:v>V. Vitagliano, Gazz. Chim. Ital. 90, 876 (1960)</x:v>
      </x:c>
      <x:c r="K86" s="22"/>
      <x:c r="L86" s="22" t="str">
        <x:v>lobo_1993 | V. M. M. Lobo (1993) | Pure and Applied Chemistry Table 1, ref. 87, PDF p. 14; directly tabulated value</x:v>
      </x:c>
      <x:c r="M86" s="16" t="str">
        <x:v>10.1351/pac199365122613</x:v>
      </x:c>
      <x:c r="N86" s="16" t="str">
        <x:v>data_source/lobo_1993.pdf</x:v>
      </x:c>
      <x:c r="O86" s="22" t="str">
        <x:v>Lobo 1993 Table 1, PDF pp.13–14; bibliography ref.87, PDF p.27</x:v>
      </x:c>
      <x:c r="P86" s="22" t="str">
        <x:v>compilation_table_verified_original_paper_not_archived</x:v>
      </x:c>
      <x:c r="Q86" s="22" t="str">
        <x:v>conditional_exploratory_pending_original_paper_audit</x:v>
      </x:c>
      <x:c r="R86" s="16" t="str">
        <x:v>retrospective_grouped_cv_pool</x:v>
      </x:c>
      <x:c r="S86" s="16" t="str">
        <x:v>COND:298.15K:0.12800000M</x:v>
      </x:c>
      <x:c r="T86" s="20" t="n">
        <x:v>1</x:v>
      </x:c>
      <x:c r="U86" s="16" t="str">
        <x:v>unique_state</x:v>
      </x:c>
      <x:c r="V86" s="22" t="str">
        <x:v>Lobo PDF pp.13–14 belong to the same original paper and are merged.</x:v>
      </x:c>
    </x:row>
    <x:row r="87" ht="39.599998474121094" hidden="0" customHeight="1">
      <x:c r="A87" s="16" t="str">
        <x:v>F40340</x:v>
      </x:c>
      <x:c r="B87" s="16" t="str">
        <x:v>LiCl-H2O</x:v>
      </x:c>
      <x:c r="C87" s="17" t="n">
        <x:v>298.15</x:v>
      </x:c>
      <x:c r="D87" s="18" t="n">
        <x:v>0.1675</x:v>
      </x:c>
      <x:c r="E87" s="19" t="n">
        <x:v>1.261</x:v>
      </x:c>
      <x:c r="F87" s="16" t="str">
        <x:v>BIB:LICL:LOBO1993:REF_087</x:v>
      </x:c>
      <x:c r="G87" s="16" t="str">
        <x:v>BIB:LICL:LOBO1993:REF_087</x:v>
      </x:c>
      <x:c r="H87" s="16" t="str">
        <x:v>bibliographic_original_study_via_compilation</x:v>
      </x:c>
      <x:c r="I87" s="16" t="str">
        <x:v>087</x:v>
      </x:c>
      <x:c r="J87" s="22" t="str">
        <x:v>V. Vitagliano, Gazz. Chim. Ital. 90, 876 (1960)</x:v>
      </x:c>
      <x:c r="K87" s="22"/>
      <x:c r="L87" s="22" t="str">
        <x:v>lobo_1993 | V. M. M. Lobo (1993) | Pure and Applied Chemistry Table 1, ref. 87, PDF p. 14; directly tabulated value</x:v>
      </x:c>
      <x:c r="M87" s="16" t="str">
        <x:v>10.1351/pac199365122613</x:v>
      </x:c>
      <x:c r="N87" s="16" t="str">
        <x:v>data_source/lobo_1993.pdf</x:v>
      </x:c>
      <x:c r="O87" s="22" t="str">
        <x:v>Lobo 1993 Table 1, PDF pp.13–14; bibliography ref.87, PDF p.27</x:v>
      </x:c>
      <x:c r="P87" s="22" t="str">
        <x:v>compilation_table_verified_original_paper_not_archived</x:v>
      </x:c>
      <x:c r="Q87" s="22" t="str">
        <x:v>conditional_exploratory_pending_original_paper_audit</x:v>
      </x:c>
      <x:c r="R87" s="16" t="str">
        <x:v>retrospective_grouped_cv_pool</x:v>
      </x:c>
      <x:c r="S87" s="16" t="str">
        <x:v>COND:298.15K:0.16750000M</x:v>
      </x:c>
      <x:c r="T87" s="20" t="n">
        <x:v>1</x:v>
      </x:c>
      <x:c r="U87" s="16" t="str">
        <x:v>unique_state</x:v>
      </x:c>
      <x:c r="V87" s="22" t="str">
        <x:v>Lobo PDF pp.13–14 belong to the same original paper and are merged.</x:v>
      </x:c>
    </x:row>
    <x:row r="88" ht="39.599998474121094" hidden="0" customHeight="1">
      <x:c r="A88" s="16" t="str">
        <x:v>F40341</x:v>
      </x:c>
      <x:c r="B88" s="16" t="str">
        <x:v>LiCl-H2O</x:v>
      </x:c>
      <x:c r="C88" s="17" t="n">
        <x:v>298.15</x:v>
      </x:c>
      <x:c r="D88" s="18" t="n">
        <x:v>0.2718</x:v>
      </x:c>
      <x:c r="E88" s="19" t="n">
        <x:v>1.262</x:v>
      </x:c>
      <x:c r="F88" s="16" t="str">
        <x:v>BIB:LICL:LOBO1993:REF_087</x:v>
      </x:c>
      <x:c r="G88" s="16" t="str">
        <x:v>BIB:LICL:LOBO1993:REF_087</x:v>
      </x:c>
      <x:c r="H88" s="16" t="str">
        <x:v>bibliographic_original_study_via_compilation</x:v>
      </x:c>
      <x:c r="I88" s="16" t="str">
        <x:v>087</x:v>
      </x:c>
      <x:c r="J88" s="22" t="str">
        <x:v>V. Vitagliano, Gazz. Chim. Ital. 90, 876 (1960)</x:v>
      </x:c>
      <x:c r="K88" s="22"/>
      <x:c r="L88" s="22" t="str">
        <x:v>lobo_1993 | V. M. M. Lobo (1993) | Pure and Applied Chemistry Table 1, ref. 87, PDF p. 14; directly tabulated value</x:v>
      </x:c>
      <x:c r="M88" s="16" t="str">
        <x:v>10.1351/pac199365122613</x:v>
      </x:c>
      <x:c r="N88" s="16" t="str">
        <x:v>data_source/lobo_1993.pdf</x:v>
      </x:c>
      <x:c r="O88" s="22" t="str">
        <x:v>Lobo 1993 Table 1, PDF pp.13–14; bibliography ref.87, PDF p.27</x:v>
      </x:c>
      <x:c r="P88" s="22" t="str">
        <x:v>compilation_table_verified_original_paper_not_archived</x:v>
      </x:c>
      <x:c r="Q88" s="22" t="str">
        <x:v>conditional_exploratory_pending_original_paper_audit</x:v>
      </x:c>
      <x:c r="R88" s="16" t="str">
        <x:v>retrospective_grouped_cv_pool</x:v>
      </x:c>
      <x:c r="S88" s="16" t="str">
        <x:v>COND:298.15K:0.27180000M</x:v>
      </x:c>
      <x:c r="T88" s="20" t="n">
        <x:v>1</x:v>
      </x:c>
      <x:c r="U88" s="16" t="str">
        <x:v>unique_state</x:v>
      </x:c>
      <x:c r="V88" s="22" t="str">
        <x:v>Lobo PDF pp.13–14 belong to the same original paper and are merged.</x:v>
      </x:c>
    </x:row>
    <x:row r="89" ht="39.599998474121094" hidden="0" customHeight="1">
      <x:c r="A89" s="16" t="str">
        <x:v>F40342</x:v>
      </x:c>
      <x:c r="B89" s="16" t="str">
        <x:v>LiCl-H2O</x:v>
      </x:c>
      <x:c r="C89" s="17" t="n">
        <x:v>298.15</x:v>
      </x:c>
      <x:c r="D89" s="18" t="n">
        <x:v>0.3161</x:v>
      </x:c>
      <x:c r="E89" s="19" t="n">
        <x:v>1.264</x:v>
      </x:c>
      <x:c r="F89" s="16" t="str">
        <x:v>BIB:LICL:LOBO1993:REF_087</x:v>
      </x:c>
      <x:c r="G89" s="16" t="str">
        <x:v>BIB:LICL:LOBO1993:REF_087</x:v>
      </x:c>
      <x:c r="H89" s="16" t="str">
        <x:v>bibliographic_original_study_via_compilation</x:v>
      </x:c>
      <x:c r="I89" s="16" t="str">
        <x:v>087</x:v>
      </x:c>
      <x:c r="J89" s="22" t="str">
        <x:v>V. Vitagliano, Gazz. Chim. Ital. 90, 876 (1960)</x:v>
      </x:c>
      <x:c r="K89" s="22"/>
      <x:c r="L89" s="22" t="str">
        <x:v>lobo_1993 | V. M. M. Lobo (1993) | Pure and Applied Chemistry Table 1, ref. 87, PDF p. 14; directly tabulated value</x:v>
      </x:c>
      <x:c r="M89" s="16" t="str">
        <x:v>10.1351/pac199365122613</x:v>
      </x:c>
      <x:c r="N89" s="16" t="str">
        <x:v>data_source/lobo_1993.pdf</x:v>
      </x:c>
      <x:c r="O89" s="22" t="str">
        <x:v>Lobo 1993 Table 1, PDF pp.13–14; bibliography ref.87, PDF p.27</x:v>
      </x:c>
      <x:c r="P89" s="22" t="str">
        <x:v>compilation_table_verified_original_paper_not_archived</x:v>
      </x:c>
      <x:c r="Q89" s="22" t="str">
        <x:v>conditional_exploratory_pending_original_paper_audit</x:v>
      </x:c>
      <x:c r="R89" s="16" t="str">
        <x:v>retrospective_grouped_cv_pool</x:v>
      </x:c>
      <x:c r="S89" s="16" t="str">
        <x:v>COND:298.15K:0.31610000M</x:v>
      </x:c>
      <x:c r="T89" s="20" t="n">
        <x:v>1</x:v>
      </x:c>
      <x:c r="U89" s="16" t="str">
        <x:v>unique_state</x:v>
      </x:c>
      <x:c r="V89" s="22" t="str">
        <x:v>Lobo PDF pp.13–14 belong to the same original paper and are merged.</x:v>
      </x:c>
    </x:row>
    <x:row r="90" ht="39.599998474121094" hidden="0" customHeight="1">
      <x:c r="A90" s="16" t="str">
        <x:v>F40343</x:v>
      </x:c>
      <x:c r="B90" s="16" t="str">
        <x:v>LiCl-H2O</x:v>
      </x:c>
      <x:c r="C90" s="17" t="n">
        <x:v>298.15</x:v>
      </x:c>
      <x:c r="D90" s="18" t="n">
        <x:v>0.3346</x:v>
      </x:c>
      <x:c r="E90" s="19" t="n">
        <x:v>1.264</x:v>
      </x:c>
      <x:c r="F90" s="16" t="str">
        <x:v>BIB:LICL:LOBO1993:REF_087</x:v>
      </x:c>
      <x:c r="G90" s="16" t="str">
        <x:v>BIB:LICL:LOBO1993:REF_087</x:v>
      </x:c>
      <x:c r="H90" s="16" t="str">
        <x:v>bibliographic_original_study_via_compilation</x:v>
      </x:c>
      <x:c r="I90" s="16" t="str">
        <x:v>087</x:v>
      </x:c>
      <x:c r="J90" s="22" t="str">
        <x:v>V. Vitagliano, Gazz. Chim. Ital. 90, 876 (1960)</x:v>
      </x:c>
      <x:c r="K90" s="22"/>
      <x:c r="L90" s="22" t="str">
        <x:v>lobo_1993 | V. M. M. Lobo (1993) | Pure and Applied Chemistry Table 1, ref. 87, PDF p. 14; directly tabulated value</x:v>
      </x:c>
      <x:c r="M90" s="16" t="str">
        <x:v>10.1351/pac199365122613</x:v>
      </x:c>
      <x:c r="N90" s="16" t="str">
        <x:v>data_source/lobo_1993.pdf</x:v>
      </x:c>
      <x:c r="O90" s="22" t="str">
        <x:v>Lobo 1993 Table 1, PDF pp.13–14; bibliography ref.87, PDF p.27</x:v>
      </x:c>
      <x:c r="P90" s="22" t="str">
        <x:v>compilation_table_verified_original_paper_not_archived</x:v>
      </x:c>
      <x:c r="Q90" s="22" t="str">
        <x:v>conditional_exploratory_pending_original_paper_audit</x:v>
      </x:c>
      <x:c r="R90" s="16" t="str">
        <x:v>retrospective_grouped_cv_pool</x:v>
      </x:c>
      <x:c r="S90" s="16" t="str">
        <x:v>COND:298.15K:0.33460000M</x:v>
      </x:c>
      <x:c r="T90" s="20" t="n">
        <x:v>1</x:v>
      </x:c>
      <x:c r="U90" s="16" t="str">
        <x:v>unique_state</x:v>
      </x:c>
      <x:c r="V90" s="22" t="str">
        <x:v>Lobo PDF pp.13–14 belong to the same original paper and are merged.</x:v>
      </x:c>
    </x:row>
    <x:row r="91" ht="39.599998474121094" hidden="0" customHeight="1">
      <x:c r="A91" s="16" t="str">
        <x:v>F40344</x:v>
      </x:c>
      <x:c r="B91" s="16" t="str">
        <x:v>LiCl-H2O</x:v>
      </x:c>
      <x:c r="C91" s="17" t="n">
        <x:v>298.15</x:v>
      </x:c>
      <x:c r="D91" s="18" t="n">
        <x:v>0.422</x:v>
      </x:c>
      <x:c r="E91" s="19" t="n">
        <x:v>1.269</x:v>
      </x:c>
      <x:c r="F91" s="16" t="str">
        <x:v>BIB:LICL:LOBO1993:REF_087</x:v>
      </x:c>
      <x:c r="G91" s="16" t="str">
        <x:v>BIB:LICL:LOBO1993:REF_087</x:v>
      </x:c>
      <x:c r="H91" s="16" t="str">
        <x:v>bibliographic_original_study_via_compilation</x:v>
      </x:c>
      <x:c r="I91" s="16" t="str">
        <x:v>087</x:v>
      </x:c>
      <x:c r="J91" s="22" t="str">
        <x:v>V. Vitagliano, Gazz. Chim. Ital. 90, 876 (1960)</x:v>
      </x:c>
      <x:c r="K91" s="22"/>
      <x:c r="L91" s="22" t="str">
        <x:v>lobo_1993 | V. M. M. Lobo (1993) | Pure and Applied Chemistry Table 1, ref. 87, PDF p. 14; directly tabulated value</x:v>
      </x:c>
      <x:c r="M91" s="16" t="str">
        <x:v>10.1351/pac199365122613</x:v>
      </x:c>
      <x:c r="N91" s="16" t="str">
        <x:v>data_source/lobo_1993.pdf</x:v>
      </x:c>
      <x:c r="O91" s="22" t="str">
        <x:v>Lobo 1993 Table 1, PDF pp.13–14; bibliography ref.87, PDF p.27</x:v>
      </x:c>
      <x:c r="P91" s="22" t="str">
        <x:v>compilation_table_verified_original_paper_not_archived</x:v>
      </x:c>
      <x:c r="Q91" s="22" t="str">
        <x:v>conditional_exploratory_pending_original_paper_audit</x:v>
      </x:c>
      <x:c r="R91" s="16" t="str">
        <x:v>retrospective_grouped_cv_pool</x:v>
      </x:c>
      <x:c r="S91" s="16" t="str">
        <x:v>COND:298.15K:0.42200000M</x:v>
      </x:c>
      <x:c r="T91" s="20" t="n">
        <x:v>1</x:v>
      </x:c>
      <x:c r="U91" s="16" t="str">
        <x:v>unique_state</x:v>
      </x:c>
      <x:c r="V91" s="22" t="str">
        <x:v>Lobo PDF pp.13–14 belong to the same original paper and are merged.</x:v>
      </x:c>
    </x:row>
    <x:row r="92" ht="39.599998474121094" hidden="0" customHeight="1">
      <x:c r="A92" s="16" t="str">
        <x:v>F40345</x:v>
      </x:c>
      <x:c r="B92" s="16" t="str">
        <x:v>LiCl-H2O</x:v>
      </x:c>
      <x:c r="C92" s="17" t="n">
        <x:v>298.15</x:v>
      </x:c>
      <x:c r="D92" s="18" t="n">
        <x:v>0.5866</x:v>
      </x:c>
      <x:c r="E92" s="19" t="n">
        <x:v>1.278</x:v>
      </x:c>
      <x:c r="F92" s="16" t="str">
        <x:v>BIB:LICL:LOBO1993:REF_087</x:v>
      </x:c>
      <x:c r="G92" s="16" t="str">
        <x:v>BIB:LICL:LOBO1993:REF_087</x:v>
      </x:c>
      <x:c r="H92" s="16" t="str">
        <x:v>bibliographic_original_study_via_compilation</x:v>
      </x:c>
      <x:c r="I92" s="16" t="str">
        <x:v>087</x:v>
      </x:c>
      <x:c r="J92" s="22" t="str">
        <x:v>V. Vitagliano, Gazz. Chim. Ital. 90, 876 (1960)</x:v>
      </x:c>
      <x:c r="K92" s="22"/>
      <x:c r="L92" s="22" t="str">
        <x:v>lobo_1993 | V. M. M. Lobo (1993) | Pure and Applied Chemistry Table 1, ref. 87, PDF p. 14; directly tabulated value</x:v>
      </x:c>
      <x:c r="M92" s="16" t="str">
        <x:v>10.1351/pac199365122613</x:v>
      </x:c>
      <x:c r="N92" s="16" t="str">
        <x:v>data_source/lobo_1993.pdf</x:v>
      </x:c>
      <x:c r="O92" s="22" t="str">
        <x:v>Lobo 1993 Table 1, PDF pp.13–14; bibliography ref.87, PDF p.27</x:v>
      </x:c>
      <x:c r="P92" s="22" t="str">
        <x:v>compilation_table_verified_original_paper_not_archived</x:v>
      </x:c>
      <x:c r="Q92" s="22" t="str">
        <x:v>conditional_exploratory_pending_original_paper_audit</x:v>
      </x:c>
      <x:c r="R92" s="16" t="str">
        <x:v>retrospective_grouped_cv_pool</x:v>
      </x:c>
      <x:c r="S92" s="16" t="str">
        <x:v>COND:298.15K:0.58660000M</x:v>
      </x:c>
      <x:c r="T92" s="20" t="n">
        <x:v>1</x:v>
      </x:c>
      <x:c r="U92" s="16" t="str">
        <x:v>unique_state</x:v>
      </x:c>
      <x:c r="V92" s="22" t="str">
        <x:v>Lobo PDF pp.13–14 belong to the same original paper and are merged.</x:v>
      </x:c>
    </x:row>
    <x:row r="93" ht="39.599998474121094" hidden="0" customHeight="1">
      <x:c r="A93" s="16" t="str">
        <x:v>F40346</x:v>
      </x:c>
      <x:c r="B93" s="16" t="str">
        <x:v>LiCl-H2O</x:v>
      </x:c>
      <x:c r="C93" s="17" t="n">
        <x:v>298.15</x:v>
      </x:c>
      <x:c r="D93" s="18" t="n">
        <x:v>0.6598</x:v>
      </x:c>
      <x:c r="E93" s="19" t="n">
        <x:v>1.28</x:v>
      </x:c>
      <x:c r="F93" s="16" t="str">
        <x:v>BIB:LICL:LOBO1993:REF_087</x:v>
      </x:c>
      <x:c r="G93" s="16" t="str">
        <x:v>BIB:LICL:LOBO1993:REF_087</x:v>
      </x:c>
      <x:c r="H93" s="16" t="str">
        <x:v>bibliographic_original_study_via_compilation</x:v>
      </x:c>
      <x:c r="I93" s="16" t="str">
        <x:v>087</x:v>
      </x:c>
      <x:c r="J93" s="22" t="str">
        <x:v>V. Vitagliano, Gazz. Chim. Ital. 90, 876 (1960)</x:v>
      </x:c>
      <x:c r="K93" s="22"/>
      <x:c r="L93" s="22" t="str">
        <x:v>lobo_1993 | V. M. M. Lobo (1993) | Pure and Applied Chemistry Table 1, ref. 87, PDF p. 14; directly tabulated value</x:v>
      </x:c>
      <x:c r="M93" s="16" t="str">
        <x:v>10.1351/pac199365122613</x:v>
      </x:c>
      <x:c r="N93" s="16" t="str">
        <x:v>data_source/lobo_1993.pdf</x:v>
      </x:c>
      <x:c r="O93" s="22" t="str">
        <x:v>Lobo 1993 Table 1, PDF pp.13–14; bibliography ref.87, PDF p.27</x:v>
      </x:c>
      <x:c r="P93" s="22" t="str">
        <x:v>compilation_table_verified_original_paper_not_archived</x:v>
      </x:c>
      <x:c r="Q93" s="22" t="str">
        <x:v>conditional_exploratory_pending_original_paper_audit</x:v>
      </x:c>
      <x:c r="R93" s="16" t="str">
        <x:v>retrospective_grouped_cv_pool</x:v>
      </x:c>
      <x:c r="S93" s="16" t="str">
        <x:v>COND:298.15K:0.65980000M</x:v>
      </x:c>
      <x:c r="T93" s="20" t="n">
        <x:v>1</x:v>
      </x:c>
      <x:c r="U93" s="16" t="str">
        <x:v>unique_state</x:v>
      </x:c>
      <x:c r="V93" s="22" t="str">
        <x:v>Lobo PDF pp.13–14 belong to the same original paper and are merged.</x:v>
      </x:c>
    </x:row>
    <x:row r="94" ht="39.599998474121094" hidden="0" customHeight="1">
      <x:c r="A94" s="16" t="str">
        <x:v>F40347</x:v>
      </x:c>
      <x:c r="B94" s="16" t="str">
        <x:v>LiCl-H2O</x:v>
      </x:c>
      <x:c r="C94" s="17" t="n">
        <x:v>298.15</x:v>
      </x:c>
      <x:c r="D94" s="18" t="n">
        <x:v>0.9443</x:v>
      </x:c>
      <x:c r="E94" s="19" t="n">
        <x:v>1.3</x:v>
      </x:c>
      <x:c r="F94" s="16" t="str">
        <x:v>BIB:LICL:LOBO1993:REF_087</x:v>
      </x:c>
      <x:c r="G94" s="16" t="str">
        <x:v>BIB:LICL:LOBO1993:REF_087</x:v>
      </x:c>
      <x:c r="H94" s="16" t="str">
        <x:v>bibliographic_original_study_via_compilation</x:v>
      </x:c>
      <x:c r="I94" s="16" t="str">
        <x:v>087</x:v>
      </x:c>
      <x:c r="J94" s="22" t="str">
        <x:v>V. Vitagliano, Gazz. Chim. Ital. 90, 876 (1960)</x:v>
      </x:c>
      <x:c r="K94" s="22"/>
      <x:c r="L94" s="22" t="str">
        <x:v>lobo_1993 | V. M. M. Lobo (1993) | Pure and Applied Chemistry Table 1, ref. 87, PDF p. 14; directly tabulated value</x:v>
      </x:c>
      <x:c r="M94" s="16" t="str">
        <x:v>10.1351/pac199365122613</x:v>
      </x:c>
      <x:c r="N94" s="16" t="str">
        <x:v>data_source/lobo_1993.pdf</x:v>
      </x:c>
      <x:c r="O94" s="22" t="str">
        <x:v>Lobo 1993 Table 1, PDF pp.13–14; bibliography ref.87, PDF p.27</x:v>
      </x:c>
      <x:c r="P94" s="22" t="str">
        <x:v>compilation_table_verified_original_paper_not_archived</x:v>
      </x:c>
      <x:c r="Q94" s="22" t="str">
        <x:v>conditional_exploratory_pending_original_paper_audit</x:v>
      </x:c>
      <x:c r="R94" s="16" t="str">
        <x:v>retrospective_grouped_cv_pool</x:v>
      </x:c>
      <x:c r="S94" s="16" t="str">
        <x:v>COND:298.15K:0.94430000M</x:v>
      </x:c>
      <x:c r="T94" s="20" t="n">
        <x:v>1</x:v>
      </x:c>
      <x:c r="U94" s="16" t="str">
        <x:v>unique_state</x:v>
      </x:c>
      <x:c r="V94" s="22" t="str">
        <x:v>Lobo PDF pp.13–14 belong to the same original paper and are merged.</x:v>
      </x:c>
    </x:row>
    <x:row r="95" ht="39.599998474121094" hidden="0" customHeight="1">
      <x:c r="A95" s="16" t="str">
        <x:v>F40348</x:v>
      </x:c>
      <x:c r="B95" s="16" t="str">
        <x:v>LiCl-H2O</x:v>
      </x:c>
      <x:c r="C95" s="17" t="n">
        <x:v>298.15</x:v>
      </x:c>
      <x:c r="D95" s="18" t="n">
        <x:v>1.1643</x:v>
      </x:c>
      <x:c r="E95" s="19" t="n">
        <x:v>1.317</x:v>
      </x:c>
      <x:c r="F95" s="16" t="str">
        <x:v>BIB:LICL:LOBO1993:REF_087</x:v>
      </x:c>
      <x:c r="G95" s="16" t="str">
        <x:v>BIB:LICL:LOBO1993:REF_087</x:v>
      </x:c>
      <x:c r="H95" s="16" t="str">
        <x:v>bibliographic_original_study_via_compilation</x:v>
      </x:c>
      <x:c r="I95" s="16" t="str">
        <x:v>087</x:v>
      </x:c>
      <x:c r="J95" s="22" t="str">
        <x:v>V. Vitagliano, Gazz. Chim. Ital. 90, 876 (1960)</x:v>
      </x:c>
      <x:c r="K95" s="22"/>
      <x:c r="L95" s="22" t="str">
        <x:v>lobo_1993 | V. M. M. Lobo (1993) | Pure and Applied Chemistry Table 1, ref. 87, PDF p. 14; directly tabulated value</x:v>
      </x:c>
      <x:c r="M95" s="16" t="str">
        <x:v>10.1351/pac199365122613</x:v>
      </x:c>
      <x:c r="N95" s="16" t="str">
        <x:v>data_source/lobo_1993.pdf</x:v>
      </x:c>
      <x:c r="O95" s="22" t="str">
        <x:v>Lobo 1993 Table 1, PDF pp.13–14; bibliography ref.87, PDF p.27</x:v>
      </x:c>
      <x:c r="P95" s="22" t="str">
        <x:v>compilation_table_verified_original_paper_not_archived</x:v>
      </x:c>
      <x:c r="Q95" s="22" t="str">
        <x:v>conditional_exploratory_pending_original_paper_audit</x:v>
      </x:c>
      <x:c r="R95" s="16" t="str">
        <x:v>retrospective_grouped_cv_pool</x:v>
      </x:c>
      <x:c r="S95" s="16" t="str">
        <x:v>COND:298.15K:1.16430000M</x:v>
      </x:c>
      <x:c r="T95" s="20" t="n">
        <x:v>1</x:v>
      </x:c>
      <x:c r="U95" s="16" t="str">
        <x:v>unique_state</x:v>
      </x:c>
      <x:c r="V95" s="22" t="str">
        <x:v>Lobo PDF pp.13–14 belong to the same original paper and are merged.</x:v>
      </x:c>
    </x:row>
    <x:row r="96" ht="39.599998474121094" hidden="0" customHeight="1">
      <x:c r="A96" s="16" t="str">
        <x:v>F40349</x:v>
      </x:c>
      <x:c r="B96" s="16" t="str">
        <x:v>LiCl-H2O</x:v>
      </x:c>
      <x:c r="C96" s="17" t="n">
        <x:v>298.15</x:v>
      </x:c>
      <x:c r="D96" s="18" t="n">
        <x:v>1.6658</x:v>
      </x:c>
      <x:c r="E96" s="19" t="n">
        <x:v>1.346</x:v>
      </x:c>
      <x:c r="F96" s="16" t="str">
        <x:v>BIB:LICL:LOBO1993:REF_087</x:v>
      </x:c>
      <x:c r="G96" s="16" t="str">
        <x:v>BIB:LICL:LOBO1993:REF_087</x:v>
      </x:c>
      <x:c r="H96" s="16" t="str">
        <x:v>bibliographic_original_study_via_compilation</x:v>
      </x:c>
      <x:c r="I96" s="16" t="str">
        <x:v>087</x:v>
      </x:c>
      <x:c r="J96" s="22" t="str">
        <x:v>V. Vitagliano, Gazz. Chim. Ital. 90, 876 (1960)</x:v>
      </x:c>
      <x:c r="K96" s="22"/>
      <x:c r="L96" s="22" t="str">
        <x:v>lobo_1993 | V. M. M. Lobo (1993) | Pure and Applied Chemistry Table 1, ref. 87, PDF p. 14; directly tabulated value</x:v>
      </x:c>
      <x:c r="M96" s="16" t="str">
        <x:v>10.1351/pac199365122613</x:v>
      </x:c>
      <x:c r="N96" s="16" t="str">
        <x:v>data_source/lobo_1993.pdf</x:v>
      </x:c>
      <x:c r="O96" s="22" t="str">
        <x:v>Lobo 1993 Table 1, PDF pp.13–14; bibliography ref.87, PDF p.27</x:v>
      </x:c>
      <x:c r="P96" s="22" t="str">
        <x:v>compilation_table_verified_original_paper_not_archived</x:v>
      </x:c>
      <x:c r="Q96" s="22" t="str">
        <x:v>conditional_exploratory_pending_original_paper_audit</x:v>
      </x:c>
      <x:c r="R96" s="16" t="str">
        <x:v>retrospective_grouped_cv_pool</x:v>
      </x:c>
      <x:c r="S96" s="16" t="str">
        <x:v>COND:298.15K:1.66580000M</x:v>
      </x:c>
      <x:c r="T96" s="20" t="n">
        <x:v>1</x:v>
      </x:c>
      <x:c r="U96" s="16" t="str">
        <x:v>unique_state</x:v>
      </x:c>
      <x:c r="V96" s="22" t="str">
        <x:v>Lobo PDF pp.13–14 belong to the same original paper and are merged.</x:v>
      </x:c>
    </x:row>
    <x:row r="97" ht="39.599998474121094" hidden="0" customHeight="1">
      <x:c r="A97" s="16" t="str">
        <x:v>F40350</x:v>
      </x:c>
      <x:c r="B97" s="16" t="str">
        <x:v>LiCl-H2O</x:v>
      </x:c>
      <x:c r="C97" s="17" t="n">
        <x:v>298.15</x:v>
      </x:c>
      <x:c r="D97" s="18" t="n">
        <x:v>1.898</x:v>
      </x:c>
      <x:c r="E97" s="19" t="n">
        <x:v>1.364</x:v>
      </x:c>
      <x:c r="F97" s="16" t="str">
        <x:v>BIB:LICL:LOBO1993:REF_087</x:v>
      </x:c>
      <x:c r="G97" s="16" t="str">
        <x:v>BIB:LICL:LOBO1993:REF_087</x:v>
      </x:c>
      <x:c r="H97" s="16" t="str">
        <x:v>bibliographic_original_study_via_compilation</x:v>
      </x:c>
      <x:c r="I97" s="16" t="str">
        <x:v>087</x:v>
      </x:c>
      <x:c r="J97" s="22" t="str">
        <x:v>V. Vitagliano, Gazz. Chim. Ital. 90, 876 (1960)</x:v>
      </x:c>
      <x:c r="K97" s="22"/>
      <x:c r="L97" s="22" t="str">
        <x:v>lobo_1993 | V. M. M. Lobo (1993) | Pure and Applied Chemistry Table 1, ref. 87, PDF p. 14; directly tabulated value</x:v>
      </x:c>
      <x:c r="M97" s="16" t="str">
        <x:v>10.1351/pac199365122613</x:v>
      </x:c>
      <x:c r="N97" s="16" t="str">
        <x:v>data_source/lobo_1993.pdf</x:v>
      </x:c>
      <x:c r="O97" s="22" t="str">
        <x:v>Lobo 1993 Table 1, PDF pp.13–14; bibliography ref.87, PDF p.27</x:v>
      </x:c>
      <x:c r="P97" s="22" t="str">
        <x:v>compilation_table_verified_original_paper_not_archived</x:v>
      </x:c>
      <x:c r="Q97" s="22" t="str">
        <x:v>conditional_exploratory_pending_original_paper_audit</x:v>
      </x:c>
      <x:c r="R97" s="16" t="str">
        <x:v>retrospective_grouped_cv_pool</x:v>
      </x:c>
      <x:c r="S97" s="16" t="str">
        <x:v>COND:298.15K:1.89800000M</x:v>
      </x:c>
      <x:c r="T97" s="20" t="n">
        <x:v>1</x:v>
      </x:c>
      <x:c r="U97" s="16" t="str">
        <x:v>unique_state</x:v>
      </x:c>
      <x:c r="V97" s="22" t="str">
        <x:v>Lobo PDF pp.13–14 belong to the same original paper and are merged.</x:v>
      </x:c>
    </x:row>
    <x:row r="98" ht="39.599998474121094" hidden="0" customHeight="1">
      <x:c r="A98" s="16" t="str">
        <x:v>F40351</x:v>
      </x:c>
      <x:c r="B98" s="16" t="str">
        <x:v>LiCl-H2O</x:v>
      </x:c>
      <x:c r="C98" s="17" t="n">
        <x:v>298.15</x:v>
      </x:c>
      <x:c r="D98" s="18" t="n">
        <x:v>2.0493</x:v>
      </x:c>
      <x:c r="E98" s="19" t="n">
        <x:v>1.37</x:v>
      </x:c>
      <x:c r="F98" s="16" t="str">
        <x:v>BIB:LICL:LOBO1993:REF_087</x:v>
      </x:c>
      <x:c r="G98" s="16" t="str">
        <x:v>BIB:LICL:LOBO1993:REF_087</x:v>
      </x:c>
      <x:c r="H98" s="16" t="str">
        <x:v>bibliographic_original_study_via_compilation</x:v>
      </x:c>
      <x:c r="I98" s="16" t="str">
        <x:v>087</x:v>
      </x:c>
      <x:c r="J98" s="22" t="str">
        <x:v>V. Vitagliano, Gazz. Chim. Ital. 90, 876 (1960)</x:v>
      </x:c>
      <x:c r="K98" s="22"/>
      <x:c r="L98" s="22" t="str">
        <x:v>lobo_1993 | V. M. M. Lobo (1993) | Pure and Applied Chemistry Table 1, ref. 87, PDF p. 14; directly tabulated value</x:v>
      </x:c>
      <x:c r="M98" s="16" t="str">
        <x:v>10.1351/pac199365122613</x:v>
      </x:c>
      <x:c r="N98" s="16" t="str">
        <x:v>data_source/lobo_1993.pdf</x:v>
      </x:c>
      <x:c r="O98" s="22" t="str">
        <x:v>Lobo 1993 Table 1, PDF pp.13–14; bibliography ref.87, PDF p.27</x:v>
      </x:c>
      <x:c r="P98" s="22" t="str">
        <x:v>compilation_table_verified_original_paper_not_archived</x:v>
      </x:c>
      <x:c r="Q98" s="22" t="str">
        <x:v>conditional_exploratory_pending_original_paper_audit</x:v>
      </x:c>
      <x:c r="R98" s="16" t="str">
        <x:v>retrospective_grouped_cv_pool</x:v>
      </x:c>
      <x:c r="S98" s="16" t="str">
        <x:v>COND:298.15K:2.04930000M</x:v>
      </x:c>
      <x:c r="T98" s="20" t="n">
        <x:v>1</x:v>
      </x:c>
      <x:c r="U98" s="16" t="str">
        <x:v>unique_state</x:v>
      </x:c>
      <x:c r="V98" s="22" t="str">
        <x:v>Lobo PDF pp.13–14 belong to the same original paper and are merged.</x:v>
      </x:c>
    </x:row>
    <x:row r="99" ht="39.599998474121094" hidden="0" customHeight="1">
      <x:c r="A99" s="16" t="str">
        <x:v>F40352</x:v>
      </x:c>
      <x:c r="B99" s="16" t="str">
        <x:v>LiCl-H2O</x:v>
      </x:c>
      <x:c r="C99" s="17" t="n">
        <x:v>298.15</x:v>
      </x:c>
      <x:c r="D99" s="18" t="n">
        <x:v>2.8333</x:v>
      </x:c>
      <x:c r="E99" s="19" t="n">
        <x:v>1.417</x:v>
      </x:c>
      <x:c r="F99" s="16" t="str">
        <x:v>BIB:LICL:LOBO1993:REF_087</x:v>
      </x:c>
      <x:c r="G99" s="16" t="str">
        <x:v>BIB:LICL:LOBO1993:REF_087</x:v>
      </x:c>
      <x:c r="H99" s="16" t="str">
        <x:v>bibliographic_original_study_via_compilation</x:v>
      </x:c>
      <x:c r="I99" s="16" t="str">
        <x:v>087</x:v>
      </x:c>
      <x:c r="J99" s="22" t="str">
        <x:v>V. Vitagliano, Gazz. Chim. Ital. 90, 876 (1960)</x:v>
      </x:c>
      <x:c r="K99" s="22"/>
      <x:c r="L99" s="22" t="str">
        <x:v>lobo_1993 | V. M. M. Lobo (1993) | Pure and Applied Chemistry Table 1, ref. 87, PDF p. 14; directly tabulated value</x:v>
      </x:c>
      <x:c r="M99" s="16" t="str">
        <x:v>10.1351/pac199365122613</x:v>
      </x:c>
      <x:c r="N99" s="16" t="str">
        <x:v>data_source/lobo_1993.pdf</x:v>
      </x:c>
      <x:c r="O99" s="22" t="str">
        <x:v>Lobo 1993 Table 1, PDF pp.13–14; bibliography ref.87, PDF p.27</x:v>
      </x:c>
      <x:c r="P99" s="22" t="str">
        <x:v>compilation_table_verified_original_paper_not_archived</x:v>
      </x:c>
      <x:c r="Q99" s="22" t="str">
        <x:v>conditional_exploratory_pending_original_paper_audit</x:v>
      </x:c>
      <x:c r="R99" s="16" t="str">
        <x:v>retrospective_grouped_cv_pool</x:v>
      </x:c>
      <x:c r="S99" s="16" t="str">
        <x:v>COND:298.15K:2.83330000M</x:v>
      </x:c>
      <x:c r="T99" s="20" t="n">
        <x:v>1</x:v>
      </x:c>
      <x:c r="U99" s="16" t="str">
        <x:v>unique_state</x:v>
      </x:c>
      <x:c r="V99" s="22" t="str">
        <x:v>Lobo PDF pp.13–14 belong to the same original paper and are merged.</x:v>
      </x:c>
    </x:row>
    <x:row r="100" ht="39.599998474121094" hidden="0" customHeight="1">
      <x:c r="A100" s="16" t="str">
        <x:v>F40353</x:v>
      </x:c>
      <x:c r="B100" s="16" t="str">
        <x:v>LiCl-H2O</x:v>
      </x:c>
      <x:c r="C100" s="17" t="n">
        <x:v>298.15</x:v>
      </x:c>
      <x:c r="D100" s="18" t="n">
        <x:v>3.2062</x:v>
      </x:c>
      <x:c r="E100" s="19" t="n">
        <x:v>1.436</x:v>
      </x:c>
      <x:c r="F100" s="16" t="str">
        <x:v>BIB:LICL:LOBO1993:REF_087</x:v>
      </x:c>
      <x:c r="G100" s="16" t="str">
        <x:v>BIB:LICL:LOBO1993:REF_087</x:v>
      </x:c>
      <x:c r="H100" s="16" t="str">
        <x:v>bibliographic_original_study_via_compilation</x:v>
      </x:c>
      <x:c r="I100" s="16" t="str">
        <x:v>087</x:v>
      </x:c>
      <x:c r="J100" s="22" t="str">
        <x:v>V. Vitagliano, Gazz. Chim. Ital. 90, 876 (1960)</x:v>
      </x:c>
      <x:c r="K100" s="22"/>
      <x:c r="L100" s="22" t="str">
        <x:v>lobo_1993 | V. M. M. Lobo (1993) | Pure and Applied Chemistry Table 1, ref. 87, PDF p. 14; directly tabulated value</x:v>
      </x:c>
      <x:c r="M100" s="16" t="str">
        <x:v>10.1351/pac199365122613</x:v>
      </x:c>
      <x:c r="N100" s="16" t="str">
        <x:v>data_source/lobo_1993.pdf</x:v>
      </x:c>
      <x:c r="O100" s="22" t="str">
        <x:v>Lobo 1993 Table 1, PDF pp.13–14; bibliography ref.87, PDF p.27</x:v>
      </x:c>
      <x:c r="P100" s="22" t="str">
        <x:v>compilation_table_verified_original_paper_not_archived</x:v>
      </x:c>
      <x:c r="Q100" s="22" t="str">
        <x:v>conditional_exploratory_pending_original_paper_audit</x:v>
      </x:c>
      <x:c r="R100" s="16" t="str">
        <x:v>retrospective_grouped_cv_pool</x:v>
      </x:c>
      <x:c r="S100" s="16" t="str">
        <x:v>COND:298.15K:3.20620000M</x:v>
      </x:c>
      <x:c r="T100" s="20" t="n">
        <x:v>1</x:v>
      </x:c>
      <x:c r="U100" s="16" t="str">
        <x:v>unique_state</x:v>
      </x:c>
      <x:c r="V100" s="22" t="str">
        <x:v>Lobo PDF pp.13–14 belong to the same original paper and are merged.</x:v>
      </x:c>
    </x:row>
    <x:row r="101" ht="39.599998474121094" hidden="0" customHeight="1">
      <x:c r="A101" s="16" t="str">
        <x:v>F40354</x:v>
      </x:c>
      <x:c r="B101" s="16" t="str">
        <x:v>LiCl-H2O</x:v>
      </x:c>
      <x:c r="C101" s="17" t="n">
        <x:v>298.15</x:v>
      </x:c>
      <x:c r="D101" s="18" t="n">
        <x:v>3.8109</x:v>
      </x:c>
      <x:c r="E101" s="19" t="n">
        <x:v>1.461</x:v>
      </x:c>
      <x:c r="F101" s="16" t="str">
        <x:v>BIB:LICL:LOBO1993:REF_087</x:v>
      </x:c>
      <x:c r="G101" s="16" t="str">
        <x:v>BIB:LICL:LOBO1993:REF_087</x:v>
      </x:c>
      <x:c r="H101" s="16" t="str">
        <x:v>bibliographic_original_study_via_compilation</x:v>
      </x:c>
      <x:c r="I101" s="16" t="str">
        <x:v>087</x:v>
      </x:c>
      <x:c r="J101" s="22" t="str">
        <x:v>V. Vitagliano, Gazz. Chim. Ital. 90, 876 (1960)</x:v>
      </x:c>
      <x:c r="K101" s="22"/>
      <x:c r="L101" s="22" t="str">
        <x:v>lobo_1993 | V. M. M. Lobo (1993) | Pure and Applied Chemistry Table 1, ref. 87, PDF p. 14; directly tabulated value</x:v>
      </x:c>
      <x:c r="M101" s="16" t="str">
        <x:v>10.1351/pac199365122613</x:v>
      </x:c>
      <x:c r="N101" s="16" t="str">
        <x:v>data_source/lobo_1993.pdf</x:v>
      </x:c>
      <x:c r="O101" s="22" t="str">
        <x:v>Lobo 1993 Table 1, PDF pp.13–14; bibliography ref.87, PDF p.27</x:v>
      </x:c>
      <x:c r="P101" s="22" t="str">
        <x:v>compilation_table_verified_original_paper_not_archived</x:v>
      </x:c>
      <x:c r="Q101" s="22" t="str">
        <x:v>conditional_exploratory_pending_original_paper_audit</x:v>
      </x:c>
      <x:c r="R101" s="16" t="str">
        <x:v>retrospective_grouped_cv_pool</x:v>
      </x:c>
      <x:c r="S101" s="16" t="str">
        <x:v>COND:298.15K:3.81090000M</x:v>
      </x:c>
      <x:c r="T101" s="20" t="n">
        <x:v>1</x:v>
      </x:c>
      <x:c r="U101" s="16" t="str">
        <x:v>unique_state</x:v>
      </x:c>
      <x:c r="V101" s="22" t="str">
        <x:v>Lobo PDF pp.13–14 belong to the same original paper and are merged.</x:v>
      </x:c>
    </x:row>
    <x:row r="102" ht="39.599998474121094" hidden="0" customHeight="1">
      <x:c r="A102" s="16" t="str">
        <x:v>F40355</x:v>
      </x:c>
      <x:c r="B102" s="16" t="str">
        <x:v>LiCl-H2O</x:v>
      </x:c>
      <x:c r="C102" s="17" t="n">
        <x:v>298.15</x:v>
      </x:c>
      <x:c r="D102" s="18" t="n">
        <x:v>4.0908</x:v>
      </x:c>
      <x:c r="E102" s="19" t="n">
        <x:v>1.469</x:v>
      </x:c>
      <x:c r="F102" s="16" t="str">
        <x:v>BIB:LICL:LOBO1993:REF_087</x:v>
      </x:c>
      <x:c r="G102" s="16" t="str">
        <x:v>BIB:LICL:LOBO1993:REF_087</x:v>
      </x:c>
      <x:c r="H102" s="16" t="str">
        <x:v>bibliographic_original_study_via_compilation</x:v>
      </x:c>
      <x:c r="I102" s="16" t="str">
        <x:v>087</x:v>
      </x:c>
      <x:c r="J102" s="22" t="str">
        <x:v>V. Vitagliano, Gazz. Chim. Ital. 90, 876 (1960)</x:v>
      </x:c>
      <x:c r="K102" s="22"/>
      <x:c r="L102" s="22" t="str">
        <x:v>lobo_1993 | V. M. M. Lobo (1993) | Pure and Applied Chemistry Table 1, ref. 87, PDF p. 14; directly tabulated value</x:v>
      </x:c>
      <x:c r="M102" s="16" t="str">
        <x:v>10.1351/pac199365122613</x:v>
      </x:c>
      <x:c r="N102" s="16" t="str">
        <x:v>data_source/lobo_1993.pdf</x:v>
      </x:c>
      <x:c r="O102" s="22" t="str">
        <x:v>Lobo 1993 Table 1, PDF pp.13–14; bibliography ref.87, PDF p.27</x:v>
      </x:c>
      <x:c r="P102" s="22" t="str">
        <x:v>compilation_table_verified_original_paper_not_archived</x:v>
      </x:c>
      <x:c r="Q102" s="22" t="str">
        <x:v>conditional_exploratory_pending_original_paper_audit</x:v>
      </x:c>
      <x:c r="R102" s="16" t="str">
        <x:v>retrospective_grouped_cv_pool</x:v>
      </x:c>
      <x:c r="S102" s="16" t="str">
        <x:v>COND:298.15K:4.09080000M</x:v>
      </x:c>
      <x:c r="T102" s="20" t="n">
        <x:v>1</x:v>
      </x:c>
      <x:c r="U102" s="16" t="str">
        <x:v>unique_state</x:v>
      </x:c>
      <x:c r="V102" s="22" t="str">
        <x:v>Lobo PDF pp.13–14 belong to the same original paper and are merged.</x:v>
      </x:c>
    </x:row>
    <x:row r="103" ht="39.599998474121094" hidden="0" customHeight="1">
      <x:c r="A103" s="16" t="str">
        <x:v>F40356</x:v>
      </x:c>
      <x:c r="B103" s="16" t="str">
        <x:v>LiCl-H2O</x:v>
      </x:c>
      <x:c r="C103" s="17" t="n">
        <x:v>298.15</x:v>
      </x:c>
      <x:c r="D103" s="18" t="n">
        <x:v>4.4536</x:v>
      </x:c>
      <x:c r="E103" s="19" t="n">
        <x:v>1.474</x:v>
      </x:c>
      <x:c r="F103" s="16" t="str">
        <x:v>BIB:LICL:LOBO1993:REF_087</x:v>
      </x:c>
      <x:c r="G103" s="16" t="str">
        <x:v>BIB:LICL:LOBO1993:REF_087</x:v>
      </x:c>
      <x:c r="H103" s="16" t="str">
        <x:v>bibliographic_original_study_via_compilation</x:v>
      </x:c>
      <x:c r="I103" s="16" t="str">
        <x:v>087</x:v>
      </x:c>
      <x:c r="J103" s="22" t="str">
        <x:v>V. Vitagliano, Gazz. Chim. Ital. 90, 876 (1960)</x:v>
      </x:c>
      <x:c r="K103" s="22"/>
      <x:c r="L103" s="22" t="str">
        <x:v>lobo_1993 | V. M. M. Lobo (1993) | Pure and Applied Chemistry Table 1, ref. 87, PDF p. 14; directly tabulated value</x:v>
      </x:c>
      <x:c r="M103" s="16" t="str">
        <x:v>10.1351/pac199365122613</x:v>
      </x:c>
      <x:c r="N103" s="16" t="str">
        <x:v>data_source/lobo_1993.pdf</x:v>
      </x:c>
      <x:c r="O103" s="22" t="str">
        <x:v>Lobo 1993 Table 1, PDF pp.13–14; bibliography ref.87, PDF p.27</x:v>
      </x:c>
      <x:c r="P103" s="22" t="str">
        <x:v>compilation_table_verified_original_paper_not_archived</x:v>
      </x:c>
      <x:c r="Q103" s="22" t="str">
        <x:v>conditional_exploratory_pending_original_paper_audit</x:v>
      </x:c>
      <x:c r="R103" s="16" t="str">
        <x:v>retrospective_grouped_cv_pool</x:v>
      </x:c>
      <x:c r="S103" s="16" t="str">
        <x:v>COND:298.15K:4.45360000M</x:v>
      </x:c>
      <x:c r="T103" s="20" t="n">
        <x:v>1</x:v>
      </x:c>
      <x:c r="U103" s="16" t="str">
        <x:v>unique_state</x:v>
      </x:c>
      <x:c r="V103" s="22" t="str">
        <x:v>Lobo PDF pp.13–14 belong to the same original paper and are merged.</x:v>
      </x:c>
    </x:row>
    <x:row r="104" ht="39.599998474121094" hidden="0" customHeight="1">
      <x:c r="A104" s="16" t="str">
        <x:v>F40357</x:v>
      </x:c>
      <x:c r="B104" s="16" t="str">
        <x:v>LiCl-H2O</x:v>
      </x:c>
      <x:c r="C104" s="17" t="n">
        <x:v>298.15</x:v>
      </x:c>
      <x:c r="D104" s="18" t="n">
        <x:v>4.5598</x:v>
      </x:c>
      <x:c r="E104" s="19" t="n">
        <x:v>1.473</x:v>
      </x:c>
      <x:c r="F104" s="16" t="str">
        <x:v>BIB:LICL:LOBO1993:REF_087</x:v>
      </x:c>
      <x:c r="G104" s="16" t="str">
        <x:v>BIB:LICL:LOBO1993:REF_087</x:v>
      </x:c>
      <x:c r="H104" s="16" t="str">
        <x:v>bibliographic_original_study_via_compilation</x:v>
      </x:c>
      <x:c r="I104" s="16" t="str">
        <x:v>087</x:v>
      </x:c>
      <x:c r="J104" s="22" t="str">
        <x:v>V. Vitagliano, Gazz. Chim. Ital. 90, 876 (1960)</x:v>
      </x:c>
      <x:c r="K104" s="22"/>
      <x:c r="L104" s="22" t="str">
        <x:v>lobo_1993 | V. M. M. Lobo (1993) | Pure and Applied Chemistry Table 1, ref. 87, PDF p. 14; directly tabulated value</x:v>
      </x:c>
      <x:c r="M104" s="16" t="str">
        <x:v>10.1351/pac199365122613</x:v>
      </x:c>
      <x:c r="N104" s="16" t="str">
        <x:v>data_source/lobo_1993.pdf</x:v>
      </x:c>
      <x:c r="O104" s="22" t="str">
        <x:v>Lobo 1993 Table 1, PDF pp.13–14; bibliography ref.87, PDF p.27</x:v>
      </x:c>
      <x:c r="P104" s="22" t="str">
        <x:v>compilation_table_verified_original_paper_not_archived</x:v>
      </x:c>
      <x:c r="Q104" s="22" t="str">
        <x:v>conditional_exploratory_pending_original_paper_audit</x:v>
      </x:c>
      <x:c r="R104" s="16" t="str">
        <x:v>retrospective_grouped_cv_pool</x:v>
      </x:c>
      <x:c r="S104" s="16" t="str">
        <x:v>COND:298.15K:4.55980000M</x:v>
      </x:c>
      <x:c r="T104" s="20" t="n">
        <x:v>1</x:v>
      </x:c>
      <x:c r="U104" s="16" t="str">
        <x:v>unique_state</x:v>
      </x:c>
      <x:c r="V104" s="22" t="str">
        <x:v>Lobo PDF pp.13–14 belong to the same original paper and are merged.</x:v>
      </x:c>
    </x:row>
    <x:row r="105" ht="39.599998474121094" hidden="0" customHeight="1">
      <x:c r="A105" s="16" t="str">
        <x:v>F40358</x:v>
      </x:c>
      <x:c r="B105" s="16" t="str">
        <x:v>LiCl-H2O</x:v>
      </x:c>
      <x:c r="C105" s="17" t="n">
        <x:v>298.15</x:v>
      </x:c>
      <x:c r="D105" s="18" t="n">
        <x:v>4.6338</x:v>
      </x:c>
      <x:c r="E105" s="19" t="n">
        <x:v>1.474</x:v>
      </x:c>
      <x:c r="F105" s="16" t="str">
        <x:v>BIB:LICL:LOBO1993:REF_087</x:v>
      </x:c>
      <x:c r="G105" s="16" t="str">
        <x:v>BIB:LICL:LOBO1993:REF_087</x:v>
      </x:c>
      <x:c r="H105" s="16" t="str">
        <x:v>bibliographic_original_study_via_compilation</x:v>
      </x:c>
      <x:c r="I105" s="16" t="str">
        <x:v>087</x:v>
      </x:c>
      <x:c r="J105" s="22" t="str">
        <x:v>V. Vitagliano, Gazz. Chim. Ital. 90, 876 (1960)</x:v>
      </x:c>
      <x:c r="K105" s="22"/>
      <x:c r="L105" s="22" t="str">
        <x:v>lobo_1993 | V. M. M. Lobo (1993) | Pure and Applied Chemistry Table 1, ref. 87, PDF p. 14; directly tabulated value</x:v>
      </x:c>
      <x:c r="M105" s="16" t="str">
        <x:v>10.1351/pac199365122613</x:v>
      </x:c>
      <x:c r="N105" s="16" t="str">
        <x:v>data_source/lobo_1993.pdf</x:v>
      </x:c>
      <x:c r="O105" s="22" t="str">
        <x:v>Lobo 1993 Table 1, PDF pp.13–14; bibliography ref.87, PDF p.27</x:v>
      </x:c>
      <x:c r="P105" s="22" t="str">
        <x:v>compilation_table_verified_original_paper_not_archived</x:v>
      </x:c>
      <x:c r="Q105" s="22" t="str">
        <x:v>conditional_exploratory_pending_original_paper_audit</x:v>
      </x:c>
      <x:c r="R105" s="16" t="str">
        <x:v>retrospective_grouped_cv_pool</x:v>
      </x:c>
      <x:c r="S105" s="16" t="str">
        <x:v>COND:298.15K:4.63380000M</x:v>
      </x:c>
      <x:c r="T105" s="20" t="n">
        <x:v>1</x:v>
      </x:c>
      <x:c r="U105" s="16" t="str">
        <x:v>unique_state</x:v>
      </x:c>
      <x:c r="V105" s="22" t="str">
        <x:v>Lobo PDF pp.13–14 belong to the same original paper and are merged.</x:v>
      </x:c>
    </x:row>
    <x:row r="106" ht="39.599998474121094" hidden="0" customHeight="1">
      <x:c r="A106" s="16" t="str">
        <x:v>F40359</x:v>
      </x:c>
      <x:c r="B106" s="16" t="str">
        <x:v>LiCl-H2O</x:v>
      </x:c>
      <x:c r="C106" s="17" t="n">
        <x:v>298.15</x:v>
      </x:c>
      <x:c r="D106" s="18" t="n">
        <x:v>5.9331</x:v>
      </x:c>
      <x:c r="E106" s="19" t="n">
        <x:v>1.455</x:v>
      </x:c>
      <x:c r="F106" s="16" t="str">
        <x:v>BIB:LICL:LOBO1993:REF_087</x:v>
      </x:c>
      <x:c r="G106" s="16" t="str">
        <x:v>BIB:LICL:LOBO1993:REF_087</x:v>
      </x:c>
      <x:c r="H106" s="16" t="str">
        <x:v>bibliographic_original_study_via_compilation</x:v>
      </x:c>
      <x:c r="I106" s="16" t="str">
        <x:v>087</x:v>
      </x:c>
      <x:c r="J106" s="22" t="str">
        <x:v>V. Vitagliano, Gazz. Chim. Ital. 90, 876 (1960)</x:v>
      </x:c>
      <x:c r="K106" s="22"/>
      <x:c r="L106" s="22" t="str">
        <x:v>lobo_1993 | V. M. M. Lobo (1993) | Pure and Applied Chemistry Table 1, ref. 87, PDF p. 14; directly tabulated value</x:v>
      </x:c>
      <x:c r="M106" s="16" t="str">
        <x:v>10.1351/pac199365122613</x:v>
      </x:c>
      <x:c r="N106" s="16" t="str">
        <x:v>data_source/lobo_1993.pdf</x:v>
      </x:c>
      <x:c r="O106" s="22" t="str">
        <x:v>Lobo 1993 Table 1, PDF pp.13–14; bibliography ref.87, PDF p.27</x:v>
      </x:c>
      <x:c r="P106" s="22" t="str">
        <x:v>compilation_table_verified_original_paper_not_archived</x:v>
      </x:c>
      <x:c r="Q106" s="22" t="str">
        <x:v>conditional_exploratory_pending_original_paper_audit</x:v>
      </x:c>
      <x:c r="R106" s="16" t="str">
        <x:v>retrospective_grouped_cv_pool</x:v>
      </x:c>
      <x:c r="S106" s="16" t="str">
        <x:v>COND:298.15K:5.93310000M</x:v>
      </x:c>
      <x:c r="T106" s="20" t="n">
        <x:v>1</x:v>
      </x:c>
      <x:c r="U106" s="16" t="str">
        <x:v>unique_state</x:v>
      </x:c>
      <x:c r="V106" s="22" t="str">
        <x:v>Lobo PDF pp.13–14 belong to the same original paper and are merged.</x:v>
      </x:c>
    </x:row>
    <x:row r="107" ht="39.599998474121094" hidden="0" customHeight="1">
      <x:c r="A107" s="16" t="str">
        <x:v>F40360</x:v>
      </x:c>
      <x:c r="B107" s="16" t="str">
        <x:v>LiCl-H2O</x:v>
      </x:c>
      <x:c r="C107" s="17" t="n">
        <x:v>298.15</x:v>
      </x:c>
      <x:c r="D107" s="18" t="n">
        <x:v>6.3864</x:v>
      </x:c>
      <x:c r="E107" s="19" t="n">
        <x:v>1.438</x:v>
      </x:c>
      <x:c r="F107" s="16" t="str">
        <x:v>BIB:LICL:LOBO1993:REF_087</x:v>
      </x:c>
      <x:c r="G107" s="16" t="str">
        <x:v>BIB:LICL:LOBO1993:REF_087</x:v>
      </x:c>
      <x:c r="H107" s="16" t="str">
        <x:v>bibliographic_original_study_via_compilation</x:v>
      </x:c>
      <x:c r="I107" s="16" t="str">
        <x:v>087</x:v>
      </x:c>
      <x:c r="J107" s="22" t="str">
        <x:v>V. Vitagliano, Gazz. Chim. Ital. 90, 876 (1960)</x:v>
      </x:c>
      <x:c r="K107" s="22"/>
      <x:c r="L107" s="22" t="str">
        <x:v>lobo_1993 | V. M. M. Lobo (1993) | Pure and Applied Chemistry Table 1, ref. 87, PDF p. 14; directly tabulated value</x:v>
      </x:c>
      <x:c r="M107" s="16" t="str">
        <x:v>10.1351/pac199365122613</x:v>
      </x:c>
      <x:c r="N107" s="16" t="str">
        <x:v>data_source/lobo_1993.pdf</x:v>
      </x:c>
      <x:c r="O107" s="22" t="str">
        <x:v>Lobo 1993 Table 1, PDF pp.13–14; bibliography ref.87, PDF p.27</x:v>
      </x:c>
      <x:c r="P107" s="22" t="str">
        <x:v>compilation_table_verified_original_paper_not_archived</x:v>
      </x:c>
      <x:c r="Q107" s="22" t="str">
        <x:v>conditional_exploratory_pending_original_paper_audit</x:v>
      </x:c>
      <x:c r="R107" s="16" t="str">
        <x:v>retrospective_grouped_cv_pool</x:v>
      </x:c>
      <x:c r="S107" s="16" t="str">
        <x:v>COND:298.15K:6.38640000M</x:v>
      </x:c>
      <x:c r="T107" s="20" t="n">
        <x:v>1</x:v>
      </x:c>
      <x:c r="U107" s="16" t="str">
        <x:v>unique_state</x:v>
      </x:c>
      <x:c r="V107" s="22" t="str">
        <x:v>Lobo PDF pp.13–14 belong to the same original paper and are merged.</x:v>
      </x:c>
    </x:row>
    <x:row r="108" ht="39.599998474121094" hidden="0" customHeight="1">
      <x:c r="A108" s="16" t="str">
        <x:v>F40361</x:v>
      </x:c>
      <x:c r="B108" s="16" t="str">
        <x:v>LiCl-H2O</x:v>
      </x:c>
      <x:c r="C108" s="17" t="n">
        <x:v>298.15</x:v>
      </x:c>
      <x:c r="D108" s="18" t="n">
        <x:v>8.1108</x:v>
      </x:c>
      <x:c r="E108" s="19" t="n">
        <x:v>1.24</x:v>
      </x:c>
      <x:c r="F108" s="16" t="str">
        <x:v>BIB:LICL:LOBO1993:REF_087</x:v>
      </x:c>
      <x:c r="G108" s="16" t="str">
        <x:v>BIB:LICL:LOBO1993:REF_087</x:v>
      </x:c>
      <x:c r="H108" s="16" t="str">
        <x:v>bibliographic_original_study_via_compilation</x:v>
      </x:c>
      <x:c r="I108" s="16" t="str">
        <x:v>087</x:v>
      </x:c>
      <x:c r="J108" s="22" t="str">
        <x:v>V. Vitagliano, Gazz. Chim. Ital. 90, 876 (1960)</x:v>
      </x:c>
      <x:c r="K108" s="22"/>
      <x:c r="L108" s="22" t="str">
        <x:v>lobo_1993 | V. M. M. Lobo (1993) | Pure and Applied Chemistry Table 1, ref. 87, PDF p. 14; directly tabulated value</x:v>
      </x:c>
      <x:c r="M108" s="16" t="str">
        <x:v>10.1351/pac199365122613</x:v>
      </x:c>
      <x:c r="N108" s="16" t="str">
        <x:v>data_source/lobo_1993.pdf</x:v>
      </x:c>
      <x:c r="O108" s="22" t="str">
        <x:v>Lobo 1993 Table 1, PDF pp.13–14; bibliography ref.87, PDF p.27</x:v>
      </x:c>
      <x:c r="P108" s="22" t="str">
        <x:v>compilation_table_verified_original_paper_not_archived</x:v>
      </x:c>
      <x:c r="Q108" s="22" t="str">
        <x:v>conditional_exploratory_pending_original_paper_audit</x:v>
      </x:c>
      <x:c r="R108" s="16" t="str">
        <x:v>retrospective_grouped_cv_pool</x:v>
      </x:c>
      <x:c r="S108" s="16" t="str">
        <x:v>COND:298.15K:8.11080000M</x:v>
      </x:c>
      <x:c r="T108" s="20" t="n">
        <x:v>1</x:v>
      </x:c>
      <x:c r="U108" s="16" t="str">
        <x:v>unique_state</x:v>
      </x:c>
      <x:c r="V108" s="22" t="str">
        <x:v>Lobo PDF pp.13–14 belong to the same original paper and are merged.</x:v>
      </x:c>
    </x:row>
    <x:row r="109" ht="39.599998474121094" hidden="0" customHeight="1">
      <x:c r="A109" s="16" t="str">
        <x:v>F40375</x:v>
      </x:c>
      <x:c r="B109" s="16" t="str">
        <x:v>LiCl-H2O</x:v>
      </x:c>
      <x:c r="C109" s="17" t="n">
        <x:v>308.15</x:v>
      </x:c>
      <x:c r="D109" s="18" t="n">
        <x:v>0.1107</x:v>
      </x:c>
      <x:c r="E109" s="19" t="n">
        <x:v>1.605</x:v>
      </x:c>
      <x:c r="F109" s="16" t="str">
        <x:v>BIB:LICL:LOBO1993:REF_087</x:v>
      </x:c>
      <x:c r="G109" s="16" t="str">
        <x:v>BIB:LICL:LOBO1993:REF_087</x:v>
      </x:c>
      <x:c r="H109" s="16" t="str">
        <x:v>bibliographic_original_study_via_compilation</x:v>
      </x:c>
      <x:c r="I109" s="16" t="str">
        <x:v>087</x:v>
      </x:c>
      <x:c r="J109" s="22" t="str">
        <x:v>V. Vitagliano, Gazz. Chim. Ital. 90, 876 (1960)</x:v>
      </x:c>
      <x:c r="K109" s="22"/>
      <x:c r="L109" s="22" t="str">
        <x:v>lobo_1993 | V. M. M. Lobo (1993) | Pure and Applied Chemistry Table 1, ref. 87, PDF p. 14; directly tabulated value</x:v>
      </x:c>
      <x:c r="M109" s="16" t="str">
        <x:v>10.1351/pac199365122613</x:v>
      </x:c>
      <x:c r="N109" s="16" t="str">
        <x:v>data_source/lobo_1993.pdf</x:v>
      </x:c>
      <x:c r="O109" s="22" t="str">
        <x:v>Lobo 1993 Table 1, PDF pp.13–14; bibliography ref.87, PDF p.27</x:v>
      </x:c>
      <x:c r="P109" s="22" t="str">
        <x:v>compilation_table_verified_original_paper_not_archived</x:v>
      </x:c>
      <x:c r="Q109" s="22" t="str">
        <x:v>conditional_exploratory_pending_original_paper_audit</x:v>
      </x:c>
      <x:c r="R109" s="16" t="str">
        <x:v>retrospective_grouped_cv_pool</x:v>
      </x:c>
      <x:c r="S109" s="16" t="str">
        <x:v>COND:308.15K:0.11070000M</x:v>
      </x:c>
      <x:c r="T109" s="20" t="n">
        <x:v>1</x:v>
      </x:c>
      <x:c r="U109" s="16" t="str">
        <x:v>unique_state</x:v>
      </x:c>
      <x:c r="V109" s="22" t="str">
        <x:v>Lobo PDF pp.13–14 belong to the same original paper and are merged.</x:v>
      </x:c>
    </x:row>
    <x:row r="110" ht="39.599998474121094" hidden="0" customHeight="1">
      <x:c r="A110" s="16" t="str">
        <x:v>F40376</x:v>
      </x:c>
      <x:c r="B110" s="16" t="str">
        <x:v>LiCl-H2O</x:v>
      </x:c>
      <x:c r="C110" s="17" t="n">
        <x:v>308.15</x:v>
      </x:c>
      <x:c r="D110" s="18" t="n">
        <x:v>0.148</x:v>
      </x:c>
      <x:c r="E110" s="19" t="n">
        <x:v>1.598</x:v>
      </x:c>
      <x:c r="F110" s="16" t="str">
        <x:v>BIB:LICL:LOBO1993:REF_087</x:v>
      </x:c>
      <x:c r="G110" s="16" t="str">
        <x:v>BIB:LICL:LOBO1993:REF_087</x:v>
      </x:c>
      <x:c r="H110" s="16" t="str">
        <x:v>bibliographic_original_study_via_compilation</x:v>
      </x:c>
      <x:c r="I110" s="16" t="str">
        <x:v>087</x:v>
      </x:c>
      <x:c r="J110" s="22" t="str">
        <x:v>V. Vitagliano, Gazz. Chim. Ital. 90, 876 (1960)</x:v>
      </x:c>
      <x:c r="K110" s="22"/>
      <x:c r="L110" s="22" t="str">
        <x:v>lobo_1993 | V. M. M. Lobo (1993) | Pure and Applied Chemistry Table 1, ref. 87, PDF p. 14; directly tabulated value</x:v>
      </x:c>
      <x:c r="M110" s="16" t="str">
        <x:v>10.1351/pac199365122613</x:v>
      </x:c>
      <x:c r="N110" s="16" t="str">
        <x:v>data_source/lobo_1993.pdf</x:v>
      </x:c>
      <x:c r="O110" s="22" t="str">
        <x:v>Lobo 1993 Table 1, PDF pp.13–14; bibliography ref.87, PDF p.27</x:v>
      </x:c>
      <x:c r="P110" s="22" t="str">
        <x:v>compilation_table_verified_original_paper_not_archived</x:v>
      </x:c>
      <x:c r="Q110" s="22" t="str">
        <x:v>conditional_exploratory_pending_original_paper_audit</x:v>
      </x:c>
      <x:c r="R110" s="16" t="str">
        <x:v>retrospective_grouped_cv_pool</x:v>
      </x:c>
      <x:c r="S110" s="16" t="str">
        <x:v>COND:308.15K:0.14800000M</x:v>
      </x:c>
      <x:c r="T110" s="20" t="n">
        <x:v>1</x:v>
      </x:c>
      <x:c r="U110" s="16" t="str">
        <x:v>unique_state</x:v>
      </x:c>
      <x:c r="V110" s="22" t="str">
        <x:v>Lobo PDF pp.13–14 belong to the same original paper and are merged.</x:v>
      </x:c>
    </x:row>
    <x:row r="111" ht="39.599998474121094" hidden="0" customHeight="1">
      <x:c r="A111" s="16" t="str">
        <x:v>F40377</x:v>
      </x:c>
      <x:c r="B111" s="16" t="str">
        <x:v>LiCl-H2O</x:v>
      </x:c>
      <x:c r="C111" s="17" t="n">
        <x:v>308.15</x:v>
      </x:c>
      <x:c r="D111" s="18" t="n">
        <x:v>0.2017</x:v>
      </x:c>
      <x:c r="E111" s="19" t="n">
        <x:v>1.599</x:v>
      </x:c>
      <x:c r="F111" s="16" t="str">
        <x:v>BIB:LICL:LOBO1993:REF_087</x:v>
      </x:c>
      <x:c r="G111" s="16" t="str">
        <x:v>BIB:LICL:LOBO1993:REF_087</x:v>
      </x:c>
      <x:c r="H111" s="16" t="str">
        <x:v>bibliographic_original_study_via_compilation</x:v>
      </x:c>
      <x:c r="I111" s="16" t="str">
        <x:v>087</x:v>
      </x:c>
      <x:c r="J111" s="22" t="str">
        <x:v>V. Vitagliano, Gazz. Chim. Ital. 90, 876 (1960)</x:v>
      </x:c>
      <x:c r="K111" s="22"/>
      <x:c r="L111" s="22" t="str">
        <x:v>lobo_1993 | V. M. M. Lobo (1993) | Pure and Applied Chemistry Table 1, ref. 87, PDF p. 14; directly tabulated value</x:v>
      </x:c>
      <x:c r="M111" s="16" t="str">
        <x:v>10.1351/pac199365122613</x:v>
      </x:c>
      <x:c r="N111" s="16" t="str">
        <x:v>data_source/lobo_1993.pdf</x:v>
      </x:c>
      <x:c r="O111" s="22" t="str">
        <x:v>Lobo 1993 Table 1, PDF pp.13–14; bibliography ref.87, PDF p.27</x:v>
      </x:c>
      <x:c r="P111" s="22" t="str">
        <x:v>compilation_table_verified_original_paper_not_archived</x:v>
      </x:c>
      <x:c r="Q111" s="22" t="str">
        <x:v>conditional_exploratory_pending_original_paper_audit</x:v>
      </x:c>
      <x:c r="R111" s="16" t="str">
        <x:v>retrospective_grouped_cv_pool</x:v>
      </x:c>
      <x:c r="S111" s="16" t="str">
        <x:v>COND:308.15K:0.20170000M</x:v>
      </x:c>
      <x:c r="T111" s="20" t="n">
        <x:v>1</x:v>
      </x:c>
      <x:c r="U111" s="16" t="str">
        <x:v>unique_state</x:v>
      </x:c>
      <x:c r="V111" s="22" t="str">
        <x:v>Lobo PDF pp.13–14 belong to the same original paper and are merged.</x:v>
      </x:c>
    </x:row>
    <x:row r="112" ht="39.599998474121094" hidden="0" customHeight="1">
      <x:c r="A112" s="16" t="str">
        <x:v>F40378</x:v>
      </x:c>
      <x:c r="B112" s="16" t="str">
        <x:v>LiCl-H2O</x:v>
      </x:c>
      <x:c r="C112" s="17" t="n">
        <x:v>308.15</x:v>
      </x:c>
      <x:c r="D112" s="18" t="n">
        <x:v>0.2999</x:v>
      </x:c>
      <x:c r="E112" s="19" t="n">
        <x:v>1.603</x:v>
      </x:c>
      <x:c r="F112" s="16" t="str">
        <x:v>BIB:LICL:LOBO1993:REF_087</x:v>
      </x:c>
      <x:c r="G112" s="16" t="str">
        <x:v>BIB:LICL:LOBO1993:REF_087</x:v>
      </x:c>
      <x:c r="H112" s="16" t="str">
        <x:v>bibliographic_original_study_via_compilation</x:v>
      </x:c>
      <x:c r="I112" s="16" t="str">
        <x:v>087</x:v>
      </x:c>
      <x:c r="J112" s="22" t="str">
        <x:v>V. Vitagliano, Gazz. Chim. Ital. 90, 876 (1960)</x:v>
      </x:c>
      <x:c r="K112" s="22"/>
      <x:c r="L112" s="22" t="str">
        <x:v>lobo_1993 | V. M. M. Lobo (1993) | Pure and Applied Chemistry Table 1, ref. 87, PDF p. 14; directly tabulated value</x:v>
      </x:c>
      <x:c r="M112" s="16" t="str">
        <x:v>10.1351/pac199365122613</x:v>
      </x:c>
      <x:c r="N112" s="16" t="str">
        <x:v>data_source/lobo_1993.pdf</x:v>
      </x:c>
      <x:c r="O112" s="22" t="str">
        <x:v>Lobo 1993 Table 1, PDF pp.13–14; bibliography ref.87, PDF p.27</x:v>
      </x:c>
      <x:c r="P112" s="22" t="str">
        <x:v>compilation_table_verified_original_paper_not_archived</x:v>
      </x:c>
      <x:c r="Q112" s="22" t="str">
        <x:v>conditional_exploratory_pending_original_paper_audit</x:v>
      </x:c>
      <x:c r="R112" s="16" t="str">
        <x:v>retrospective_grouped_cv_pool</x:v>
      </x:c>
      <x:c r="S112" s="16" t="str">
        <x:v>COND:308.15K:0.29990000M</x:v>
      </x:c>
      <x:c r="T112" s="20" t="n">
        <x:v>1</x:v>
      </x:c>
      <x:c r="U112" s="16" t="str">
        <x:v>unique_state</x:v>
      </x:c>
      <x:c r="V112" s="22" t="str">
        <x:v>Lobo PDF pp.13–14 belong to the same original paper and are merged.</x:v>
      </x:c>
    </x:row>
    <x:row r="113" ht="39.599998474121094" hidden="0" customHeight="1">
      <x:c r="A113" s="16" t="str">
        <x:v>F40379</x:v>
      </x:c>
      <x:c r="B113" s="16" t="str">
        <x:v>LiCl-H2O</x:v>
      </x:c>
      <x:c r="C113" s="17" t="n">
        <x:v>308.15</x:v>
      </x:c>
      <x:c r="D113" s="18" t="n">
        <x:v>0.3945</x:v>
      </x:c>
      <x:c r="E113" s="19" t="n">
        <x:v>1.607</x:v>
      </x:c>
      <x:c r="F113" s="16" t="str">
        <x:v>BIB:LICL:LOBO1993:REF_087</x:v>
      </x:c>
      <x:c r="G113" s="16" t="str">
        <x:v>BIB:LICL:LOBO1993:REF_087</x:v>
      </x:c>
      <x:c r="H113" s="16" t="str">
        <x:v>bibliographic_original_study_via_compilation</x:v>
      </x:c>
      <x:c r="I113" s="16" t="str">
        <x:v>087</x:v>
      </x:c>
      <x:c r="J113" s="22" t="str">
        <x:v>V. Vitagliano, Gazz. Chim. Ital. 90, 876 (1960)</x:v>
      </x:c>
      <x:c r="K113" s="22"/>
      <x:c r="L113" s="22" t="str">
        <x:v>lobo_1993 | V. M. M. Lobo (1993) | Pure and Applied Chemistry Table 1, ref. 87, PDF p. 14; directly tabulated value</x:v>
      </x:c>
      <x:c r="M113" s="16" t="str">
        <x:v>10.1351/pac199365122613</x:v>
      </x:c>
      <x:c r="N113" s="16" t="str">
        <x:v>data_source/lobo_1993.pdf</x:v>
      </x:c>
      <x:c r="O113" s="22" t="str">
        <x:v>Lobo 1993 Table 1, PDF pp.13–14; bibliography ref.87, PDF p.27</x:v>
      </x:c>
      <x:c r="P113" s="22" t="str">
        <x:v>compilation_table_verified_original_paper_not_archived</x:v>
      </x:c>
      <x:c r="Q113" s="22" t="str">
        <x:v>conditional_exploratory_pending_original_paper_audit</x:v>
      </x:c>
      <x:c r="R113" s="16" t="str">
        <x:v>retrospective_grouped_cv_pool</x:v>
      </x:c>
      <x:c r="S113" s="16" t="str">
        <x:v>COND:308.15K:0.39450000M</x:v>
      </x:c>
      <x:c r="T113" s="20" t="n">
        <x:v>1</x:v>
      </x:c>
      <x:c r="U113" s="16" t="str">
        <x:v>unique_state</x:v>
      </x:c>
      <x:c r="V113" s="22" t="str">
        <x:v>Lobo PDF pp.13–14 belong to the same original paper and are merged.</x:v>
      </x:c>
    </x:row>
    <x:row r="114" ht="39.599998474121094" hidden="0" customHeight="1">
      <x:c r="A114" s="16" t="str">
        <x:v>F40380</x:v>
      </x:c>
      <x:c r="B114" s="16" t="str">
        <x:v>LiCl-H2O</x:v>
      </x:c>
      <x:c r="C114" s="17" t="n">
        <x:v>308.15</x:v>
      </x:c>
      <x:c r="D114" s="18" t="n">
        <x:v>0.6334</x:v>
      </x:c>
      <x:c r="E114" s="19" t="n">
        <x:v>1.618</x:v>
      </x:c>
      <x:c r="F114" s="16" t="str">
        <x:v>BIB:LICL:LOBO1993:REF_087</x:v>
      </x:c>
      <x:c r="G114" s="16" t="str">
        <x:v>BIB:LICL:LOBO1993:REF_087</x:v>
      </x:c>
      <x:c r="H114" s="16" t="str">
        <x:v>bibliographic_original_study_via_compilation</x:v>
      </x:c>
      <x:c r="I114" s="16" t="str">
        <x:v>087</x:v>
      </x:c>
      <x:c r="J114" s="22" t="str">
        <x:v>V. Vitagliano, Gazz. Chim. Ital. 90, 876 (1960)</x:v>
      </x:c>
      <x:c r="K114" s="22"/>
      <x:c r="L114" s="22" t="str">
        <x:v>lobo_1993 | V. M. M. Lobo (1993) | Pure and Applied Chemistry Table 1, ref. 87, PDF p. 14; directly tabulated value</x:v>
      </x:c>
      <x:c r="M114" s="16" t="str">
        <x:v>10.1351/pac199365122613</x:v>
      </x:c>
      <x:c r="N114" s="16" t="str">
        <x:v>data_source/lobo_1993.pdf</x:v>
      </x:c>
      <x:c r="O114" s="22" t="str">
        <x:v>Lobo 1993 Table 1, PDF pp.13–14; bibliography ref.87, PDF p.27</x:v>
      </x:c>
      <x:c r="P114" s="22" t="str">
        <x:v>compilation_table_verified_original_paper_not_archived</x:v>
      </x:c>
      <x:c r="Q114" s="22" t="str">
        <x:v>conditional_exploratory_pending_original_paper_audit</x:v>
      </x:c>
      <x:c r="R114" s="16" t="str">
        <x:v>retrospective_grouped_cv_pool</x:v>
      </x:c>
      <x:c r="S114" s="16" t="str">
        <x:v>COND:308.15K:0.63340000M</x:v>
      </x:c>
      <x:c r="T114" s="20" t="n">
        <x:v>1</x:v>
      </x:c>
      <x:c r="U114" s="16" t="str">
        <x:v>unique_state</x:v>
      </x:c>
      <x:c r="V114" s="22" t="str">
        <x:v>Lobo PDF pp.13–14 belong to the same original paper and are merged.</x:v>
      </x:c>
    </x:row>
    <x:row r="115" ht="39.599998474121094" hidden="0" customHeight="1">
      <x:c r="A115" s="16" t="str">
        <x:v>F40381</x:v>
      </x:c>
      <x:c r="B115" s="16" t="str">
        <x:v>LiCl-H2O</x:v>
      </x:c>
      <x:c r="C115" s="17" t="n">
        <x:v>308.15</x:v>
      </x:c>
      <x:c r="D115" s="18" t="n">
        <x:v>0.8604</x:v>
      </x:c>
      <x:c r="E115" s="19" t="n">
        <x:v>1.635</x:v>
      </x:c>
      <x:c r="F115" s="16" t="str">
        <x:v>BIB:LICL:LOBO1993:REF_087</x:v>
      </x:c>
      <x:c r="G115" s="16" t="str">
        <x:v>BIB:LICL:LOBO1993:REF_087</x:v>
      </x:c>
      <x:c r="H115" s="16" t="str">
        <x:v>bibliographic_original_study_via_compilation</x:v>
      </x:c>
      <x:c r="I115" s="16" t="str">
        <x:v>087</x:v>
      </x:c>
      <x:c r="J115" s="22" t="str">
        <x:v>V. Vitagliano, Gazz. Chim. Ital. 90, 876 (1960)</x:v>
      </x:c>
      <x:c r="K115" s="22"/>
      <x:c r="L115" s="22" t="str">
        <x:v>lobo_1993 | V. M. M. Lobo (1993) | Pure and Applied Chemistry Table 1, ref. 87, PDF p. 14; directly tabulated value</x:v>
      </x:c>
      <x:c r="M115" s="16" t="str">
        <x:v>10.1351/pac199365122613</x:v>
      </x:c>
      <x:c r="N115" s="16" t="str">
        <x:v>data_source/lobo_1993.pdf</x:v>
      </x:c>
      <x:c r="O115" s="22" t="str">
        <x:v>Lobo 1993 Table 1, PDF pp.13–14; bibliography ref.87, PDF p.27</x:v>
      </x:c>
      <x:c r="P115" s="22" t="str">
        <x:v>compilation_table_verified_original_paper_not_archived</x:v>
      </x:c>
      <x:c r="Q115" s="22" t="str">
        <x:v>conditional_exploratory_pending_original_paper_audit</x:v>
      </x:c>
      <x:c r="R115" s="16" t="str">
        <x:v>retrospective_grouped_cv_pool</x:v>
      </x:c>
      <x:c r="S115" s="16" t="str">
        <x:v>COND:308.15K:0.86040000M</x:v>
      </x:c>
      <x:c r="T115" s="20" t="n">
        <x:v>1</x:v>
      </x:c>
      <x:c r="U115" s="16" t="str">
        <x:v>unique_state</x:v>
      </x:c>
      <x:c r="V115" s="22" t="str">
        <x:v>Lobo PDF pp.13–14 belong to the same original paper and are merged.</x:v>
      </x:c>
    </x:row>
    <x:row r="116" ht="39.599998474121094" hidden="0" customHeight="1">
      <x:c r="A116" s="16" t="str">
        <x:v>F40382</x:v>
      </x:c>
      <x:c r="B116" s="16" t="str">
        <x:v>LiCl-H2O</x:v>
      </x:c>
      <x:c r="C116" s="17" t="n">
        <x:v>308.15</x:v>
      </x:c>
      <x:c r="D116" s="18" t="n">
        <x:v>0.961</x:v>
      </x:c>
      <x:c r="E116" s="19" t="n">
        <x:v>1.639</x:v>
      </x:c>
      <x:c r="F116" s="16" t="str">
        <x:v>BIB:LICL:LOBO1993:REF_087</x:v>
      </x:c>
      <x:c r="G116" s="16" t="str">
        <x:v>BIB:LICL:LOBO1993:REF_087</x:v>
      </x:c>
      <x:c r="H116" s="16" t="str">
        <x:v>bibliographic_original_study_via_compilation</x:v>
      </x:c>
      <x:c r="I116" s="16" t="str">
        <x:v>087</x:v>
      </x:c>
      <x:c r="J116" s="22" t="str">
        <x:v>V. Vitagliano, Gazz. Chim. Ital. 90, 876 (1960)</x:v>
      </x:c>
      <x:c r="K116" s="22"/>
      <x:c r="L116" s="22" t="str">
        <x:v>lobo_1993 | V. M. M. Lobo (1993) | Pure and Applied Chemistry Table 1, ref. 87, PDF p. 14; directly tabulated value</x:v>
      </x:c>
      <x:c r="M116" s="16" t="str">
        <x:v>10.1351/pac199365122613</x:v>
      </x:c>
      <x:c r="N116" s="16" t="str">
        <x:v>data_source/lobo_1993.pdf</x:v>
      </x:c>
      <x:c r="O116" s="22" t="str">
        <x:v>Lobo 1993 Table 1, PDF pp.13–14; bibliography ref.87, PDF p.27</x:v>
      </x:c>
      <x:c r="P116" s="22" t="str">
        <x:v>compilation_table_verified_original_paper_not_archived</x:v>
      </x:c>
      <x:c r="Q116" s="22" t="str">
        <x:v>conditional_exploratory_pending_original_paper_audit</x:v>
      </x:c>
      <x:c r="R116" s="16" t="str">
        <x:v>retrospective_grouped_cv_pool</x:v>
      </x:c>
      <x:c r="S116" s="16" t="str">
        <x:v>COND:308.15K:0.96100000M</x:v>
      </x:c>
      <x:c r="T116" s="20" t="n">
        <x:v>1</x:v>
      </x:c>
      <x:c r="U116" s="16" t="str">
        <x:v>unique_state</x:v>
      </x:c>
      <x:c r="V116" s="22" t="str">
        <x:v>Lobo PDF pp.13–14 belong to the same original paper and are merged.</x:v>
      </x:c>
    </x:row>
    <x:row r="117" ht="39.599998474121094" hidden="0" customHeight="1">
      <x:c r="A117" s="16" t="str">
        <x:v>F40383</x:v>
      </x:c>
      <x:c r="B117" s="16" t="str">
        <x:v>LiCl-H2O</x:v>
      </x:c>
      <x:c r="C117" s="17" t="n">
        <x:v>308.15</x:v>
      </x:c>
      <x:c r="D117" s="18" t="n">
        <x:v>1.3336</x:v>
      </x:c>
      <x:c r="E117" s="19" t="n">
        <x:v>1.665</x:v>
      </x:c>
      <x:c r="F117" s="16" t="str">
        <x:v>BIB:LICL:LOBO1993:REF_087</x:v>
      </x:c>
      <x:c r="G117" s="16" t="str">
        <x:v>BIB:LICL:LOBO1993:REF_087</x:v>
      </x:c>
      <x:c r="H117" s="16" t="str">
        <x:v>bibliographic_original_study_via_compilation</x:v>
      </x:c>
      <x:c r="I117" s="16" t="str">
        <x:v>087</x:v>
      </x:c>
      <x:c r="J117" s="22" t="str">
        <x:v>V. Vitagliano, Gazz. Chim. Ital. 90, 876 (1960)</x:v>
      </x:c>
      <x:c r="K117" s="22"/>
      <x:c r="L117" s="22" t="str">
        <x:v>lobo_1993 | V. M. M. Lobo (1993) | Pure and Applied Chemistry Table 1, ref. 87, PDF p. 14; directly tabulated value</x:v>
      </x:c>
      <x:c r="M117" s="16" t="str">
        <x:v>10.1351/pac199365122613</x:v>
      </x:c>
      <x:c r="N117" s="16" t="str">
        <x:v>data_source/lobo_1993.pdf</x:v>
      </x:c>
      <x:c r="O117" s="22" t="str">
        <x:v>Lobo 1993 Table 1, PDF pp.13–14; bibliography ref.87, PDF p.27</x:v>
      </x:c>
      <x:c r="P117" s="22" t="str">
        <x:v>compilation_table_verified_original_paper_not_archived</x:v>
      </x:c>
      <x:c r="Q117" s="22" t="str">
        <x:v>conditional_exploratory_pending_original_paper_audit</x:v>
      </x:c>
      <x:c r="R117" s="16" t="str">
        <x:v>retrospective_grouped_cv_pool</x:v>
      </x:c>
      <x:c r="S117" s="16" t="str">
        <x:v>COND:308.15K:1.33360000M</x:v>
      </x:c>
      <x:c r="T117" s="20" t="n">
        <x:v>1</x:v>
      </x:c>
      <x:c r="U117" s="16" t="str">
        <x:v>unique_state</x:v>
      </x:c>
      <x:c r="V117" s="22" t="str">
        <x:v>Lobo PDF pp.13–14 belong to the same original paper and are merged.</x:v>
      </x:c>
    </x:row>
    <x:row r="118" ht="39.599998474121094" hidden="0" customHeight="1">
      <x:c r="A118" s="16" t="str">
        <x:v>F40384</x:v>
      </x:c>
      <x:c r="B118" s="16" t="str">
        <x:v>LiCl-H2O</x:v>
      </x:c>
      <x:c r="C118" s="17" t="n">
        <x:v>308.15</x:v>
      </x:c>
      <x:c r="D118" s="18" t="n">
        <x:v>1.6101</x:v>
      </x:c>
      <x:c r="E118" s="19" t="n">
        <x:v>1.685</x:v>
      </x:c>
      <x:c r="F118" s="16" t="str">
        <x:v>BIB:LICL:LOBO1993:REF_087</x:v>
      </x:c>
      <x:c r="G118" s="16" t="str">
        <x:v>BIB:LICL:LOBO1993:REF_087</x:v>
      </x:c>
      <x:c r="H118" s="16" t="str">
        <x:v>bibliographic_original_study_via_compilation</x:v>
      </x:c>
      <x:c r="I118" s="16" t="str">
        <x:v>087</x:v>
      </x:c>
      <x:c r="J118" s="22" t="str">
        <x:v>V. Vitagliano, Gazz. Chim. Ital. 90, 876 (1960)</x:v>
      </x:c>
      <x:c r="K118" s="22"/>
      <x:c r="L118" s="22" t="str">
        <x:v>lobo_1993 | V. M. M. Lobo (1993) | Pure and Applied Chemistry Table 1, ref. 87, PDF p. 14; directly tabulated value</x:v>
      </x:c>
      <x:c r="M118" s="16" t="str">
        <x:v>10.1351/pac199365122613</x:v>
      </x:c>
      <x:c r="N118" s="16" t="str">
        <x:v>data_source/lobo_1993.pdf</x:v>
      </x:c>
      <x:c r="O118" s="22" t="str">
        <x:v>Lobo 1993 Table 1, PDF pp.13–14; bibliography ref.87, PDF p.27</x:v>
      </x:c>
      <x:c r="P118" s="22" t="str">
        <x:v>compilation_table_verified_original_paper_not_archived</x:v>
      </x:c>
      <x:c r="Q118" s="22" t="str">
        <x:v>conditional_exploratory_pending_original_paper_audit</x:v>
      </x:c>
      <x:c r="R118" s="16" t="str">
        <x:v>retrospective_grouped_cv_pool</x:v>
      </x:c>
      <x:c r="S118" s="16" t="str">
        <x:v>COND:308.15K:1.61010000M</x:v>
      </x:c>
      <x:c r="T118" s="20" t="n">
        <x:v>1</x:v>
      </x:c>
      <x:c r="U118" s="16" t="str">
        <x:v>unique_state</x:v>
      </x:c>
      <x:c r="V118" s="22" t="str">
        <x:v>Lobo PDF pp.13–14 belong to the same original paper and are merged.</x:v>
      </x:c>
    </x:row>
    <x:row r="119" ht="39.599998474121094" hidden="0" customHeight="1">
      <x:c r="A119" s="16" t="str">
        <x:v>F40385</x:v>
      </x:c>
      <x:c r="B119" s="16" t="str">
        <x:v>LiCl-H2O</x:v>
      </x:c>
      <x:c r="C119" s="17" t="n">
        <x:v>308.15</x:v>
      </x:c>
      <x:c r="D119" s="18" t="n">
        <x:v>2.0614</x:v>
      </x:c>
      <x:c r="E119" s="19" t="n">
        <x:v>1.714</x:v>
      </x:c>
      <x:c r="F119" s="16" t="str">
        <x:v>BIB:LICL:LOBO1993:REF_087</x:v>
      </x:c>
      <x:c r="G119" s="16" t="str">
        <x:v>BIB:LICL:LOBO1993:REF_087</x:v>
      </x:c>
      <x:c r="H119" s="16" t="str">
        <x:v>bibliographic_original_study_via_compilation</x:v>
      </x:c>
      <x:c r="I119" s="16" t="str">
        <x:v>087</x:v>
      </x:c>
      <x:c r="J119" s="22" t="str">
        <x:v>V. Vitagliano, Gazz. Chim. Ital. 90, 876 (1960)</x:v>
      </x:c>
      <x:c r="K119" s="22"/>
      <x:c r="L119" s="22" t="str">
        <x:v>lobo_1993 | V. M. M. Lobo (1993) | Pure and Applied Chemistry Table 1, ref. 87, PDF p. 14; directly tabulated value</x:v>
      </x:c>
      <x:c r="M119" s="16" t="str">
        <x:v>10.1351/pac199365122613</x:v>
      </x:c>
      <x:c r="N119" s="16" t="str">
        <x:v>data_source/lobo_1993.pdf</x:v>
      </x:c>
      <x:c r="O119" s="22" t="str">
        <x:v>Lobo 1993 Table 1, PDF pp.13–14; bibliography ref.87, PDF p.27</x:v>
      </x:c>
      <x:c r="P119" s="22" t="str">
        <x:v>compilation_table_verified_original_paper_not_archived</x:v>
      </x:c>
      <x:c r="Q119" s="22" t="str">
        <x:v>conditional_exploratory_pending_original_paper_audit</x:v>
      </x:c>
      <x:c r="R119" s="16" t="str">
        <x:v>retrospective_grouped_cv_pool</x:v>
      </x:c>
      <x:c r="S119" s="16" t="str">
        <x:v>COND:308.15K:2.06140000M</x:v>
      </x:c>
      <x:c r="T119" s="20" t="n">
        <x:v>1</x:v>
      </x:c>
      <x:c r="U119" s="16" t="str">
        <x:v>unique_state</x:v>
      </x:c>
      <x:c r="V119" s="22" t="str">
        <x:v>Lobo PDF pp.13–14 belong to the same original paper and are merged.</x:v>
      </x:c>
    </x:row>
    <x:row r="120" ht="39.599998474121094" hidden="0" customHeight="1">
      <x:c r="A120" s="16" t="str">
        <x:v>F40386</x:v>
      </x:c>
      <x:c r="B120" s="16" t="str">
        <x:v>LiCl-H2O</x:v>
      </x:c>
      <x:c r="C120" s="17" t="n">
        <x:v>308.15</x:v>
      </x:c>
      <x:c r="D120" s="18" t="n">
        <x:v>2.1986</x:v>
      </x:c>
      <x:c r="E120" s="19" t="n">
        <x:v>1.727</x:v>
      </x:c>
      <x:c r="F120" s="16" t="str">
        <x:v>BIB:LICL:LOBO1993:REF_087</x:v>
      </x:c>
      <x:c r="G120" s="16" t="str">
        <x:v>BIB:LICL:LOBO1993:REF_087</x:v>
      </x:c>
      <x:c r="H120" s="16" t="str">
        <x:v>bibliographic_original_study_via_compilation</x:v>
      </x:c>
      <x:c r="I120" s="16" t="str">
        <x:v>087</x:v>
      </x:c>
      <x:c r="J120" s="22" t="str">
        <x:v>V. Vitagliano, Gazz. Chim. Ital. 90, 876 (1960)</x:v>
      </x:c>
      <x:c r="K120" s="22"/>
      <x:c r="L120" s="22" t="str">
        <x:v>lobo_1993 | V. M. M. Lobo (1993) | Pure and Applied Chemistry Table 1, ref. 87, PDF p. 14; directly tabulated value</x:v>
      </x:c>
      <x:c r="M120" s="16" t="str">
        <x:v>10.1351/pac199365122613</x:v>
      </x:c>
      <x:c r="N120" s="16" t="str">
        <x:v>data_source/lobo_1993.pdf</x:v>
      </x:c>
      <x:c r="O120" s="22" t="str">
        <x:v>Lobo 1993 Table 1, PDF pp.13–14; bibliography ref.87, PDF p.27</x:v>
      </x:c>
      <x:c r="P120" s="22" t="str">
        <x:v>compilation_table_verified_original_paper_not_archived</x:v>
      </x:c>
      <x:c r="Q120" s="22" t="str">
        <x:v>conditional_exploratory_pending_original_paper_audit</x:v>
      </x:c>
      <x:c r="R120" s="16" t="str">
        <x:v>retrospective_grouped_cv_pool</x:v>
      </x:c>
      <x:c r="S120" s="16" t="str">
        <x:v>COND:308.15K:2.19860000M</x:v>
      </x:c>
      <x:c r="T120" s="20" t="n">
        <x:v>1</x:v>
      </x:c>
      <x:c r="U120" s="16" t="str">
        <x:v>unique_state</x:v>
      </x:c>
      <x:c r="V120" s="22" t="str">
        <x:v>Lobo PDF pp.13–14 belong to the same original paper and are merged.</x:v>
      </x:c>
    </x:row>
    <x:row r="121" ht="39.599998474121094" hidden="0" customHeight="1">
      <x:c r="A121" s="16" t="str">
        <x:v>F40387</x:v>
      </x:c>
      <x:c r="B121" s="16" t="str">
        <x:v>LiCl-H2O</x:v>
      </x:c>
      <x:c r="C121" s="17" t="n">
        <x:v>308.15</x:v>
      </x:c>
      <x:c r="D121" s="18" t="n">
        <x:v>2.6566</x:v>
      </x:c>
      <x:c r="E121" s="19" t="n">
        <x:v>1.76</x:v>
      </x:c>
      <x:c r="F121" s="16" t="str">
        <x:v>BIB:LICL:LOBO1993:REF_087</x:v>
      </x:c>
      <x:c r="G121" s="16" t="str">
        <x:v>BIB:LICL:LOBO1993:REF_087</x:v>
      </x:c>
      <x:c r="H121" s="16" t="str">
        <x:v>bibliographic_original_study_via_compilation</x:v>
      </x:c>
      <x:c r="I121" s="16" t="str">
        <x:v>087</x:v>
      </x:c>
      <x:c r="J121" s="22" t="str">
        <x:v>V. Vitagliano, Gazz. Chim. Ital. 90, 876 (1960)</x:v>
      </x:c>
      <x:c r="K121" s="22"/>
      <x:c r="L121" s="22" t="str">
        <x:v>lobo_1993 | V. M. M. Lobo (1993) | Pure and Applied Chemistry Table 1, ref. 87, PDF p. 14; directly tabulated value</x:v>
      </x:c>
      <x:c r="M121" s="16" t="str">
        <x:v>10.1351/pac199365122613</x:v>
      </x:c>
      <x:c r="N121" s="16" t="str">
        <x:v>data_source/lobo_1993.pdf</x:v>
      </x:c>
      <x:c r="O121" s="22" t="str">
        <x:v>Lobo 1993 Table 1, PDF pp.13–14; bibliography ref.87, PDF p.27</x:v>
      </x:c>
      <x:c r="P121" s="22" t="str">
        <x:v>compilation_table_verified_original_paper_not_archived</x:v>
      </x:c>
      <x:c r="Q121" s="22" t="str">
        <x:v>conditional_exploratory_pending_original_paper_audit</x:v>
      </x:c>
      <x:c r="R121" s="16" t="str">
        <x:v>retrospective_grouped_cv_pool</x:v>
      </x:c>
      <x:c r="S121" s="16" t="str">
        <x:v>COND:308.15K:2.65660000M</x:v>
      </x:c>
      <x:c r="T121" s="20" t="n">
        <x:v>1</x:v>
      </x:c>
      <x:c r="U121" s="16" t="str">
        <x:v>unique_state</x:v>
      </x:c>
      <x:c r="V121" s="22" t="str">
        <x:v>Lobo PDF pp.13–14 belong to the same original paper and are merged.</x:v>
      </x:c>
    </x:row>
    <x:row r="122" ht="39.599998474121094" hidden="0" customHeight="1">
      <x:c r="A122" s="16" t="str">
        <x:v>F40388</x:v>
      </x:c>
      <x:c r="B122" s="16" t="str">
        <x:v>LiCl-H2O</x:v>
      </x:c>
      <x:c r="C122" s="17" t="n">
        <x:v>308.15</x:v>
      </x:c>
      <x:c r="D122" s="18" t="n">
        <x:v>3.1857</x:v>
      </x:c>
      <x:c r="E122" s="19" t="n">
        <x:v>1.791</x:v>
      </x:c>
      <x:c r="F122" s="16" t="str">
        <x:v>BIB:LICL:LOBO1993:REF_087</x:v>
      </x:c>
      <x:c r="G122" s="16" t="str">
        <x:v>BIB:LICL:LOBO1993:REF_087</x:v>
      </x:c>
      <x:c r="H122" s="16" t="str">
        <x:v>bibliographic_original_study_via_compilation</x:v>
      </x:c>
      <x:c r="I122" s="16" t="str">
        <x:v>087</x:v>
      </x:c>
      <x:c r="J122" s="22" t="str">
        <x:v>V. Vitagliano, Gazz. Chim. Ital. 90, 876 (1960)</x:v>
      </x:c>
      <x:c r="K122" s="22"/>
      <x:c r="L122" s="22" t="str">
        <x:v>lobo_1993 | V. M. M. Lobo (1993) | Pure and Applied Chemistry Table 1, ref. 87, PDF p. 14; directly tabulated value</x:v>
      </x:c>
      <x:c r="M122" s="16" t="str">
        <x:v>10.1351/pac199365122613</x:v>
      </x:c>
      <x:c r="N122" s="16" t="str">
        <x:v>data_source/lobo_1993.pdf</x:v>
      </x:c>
      <x:c r="O122" s="22" t="str">
        <x:v>Lobo 1993 Table 1, PDF pp.13–14; bibliography ref.87, PDF p.27</x:v>
      </x:c>
      <x:c r="P122" s="22" t="str">
        <x:v>compilation_table_verified_original_paper_not_archived</x:v>
      </x:c>
      <x:c r="Q122" s="22" t="str">
        <x:v>conditional_exploratory_pending_original_paper_audit</x:v>
      </x:c>
      <x:c r="R122" s="16" t="str">
        <x:v>retrospective_grouped_cv_pool</x:v>
      </x:c>
      <x:c r="S122" s="16" t="str">
        <x:v>COND:308.15K:3.18570000M</x:v>
      </x:c>
      <x:c r="T122" s="20" t="n">
        <x:v>1</x:v>
      </x:c>
      <x:c r="U122" s="16" t="str">
        <x:v>unique_state</x:v>
      </x:c>
      <x:c r="V122" s="22" t="str">
        <x:v>Lobo PDF pp.13–14 belong to the same original paper and are merged.</x:v>
      </x:c>
    </x:row>
    <x:row r="123" ht="39.599998474121094" hidden="0" customHeight="1">
      <x:c r="A123" s="16" t="str">
        <x:v>F40389</x:v>
      </x:c>
      <x:c r="B123" s="16" t="str">
        <x:v>LiCl-H2O</x:v>
      </x:c>
      <x:c r="C123" s="17" t="n">
        <x:v>308.15</x:v>
      </x:c>
      <x:c r="D123" s="18" t="n">
        <x:v>3.5376</x:v>
      </x:c>
      <x:c r="E123" s="19" t="n">
        <x:v>1.802</x:v>
      </x:c>
      <x:c r="F123" s="16" t="str">
        <x:v>BIB:LICL:LOBO1993:REF_087</x:v>
      </x:c>
      <x:c r="G123" s="16" t="str">
        <x:v>BIB:LICL:LOBO1993:REF_087</x:v>
      </x:c>
      <x:c r="H123" s="16" t="str">
        <x:v>bibliographic_original_study_via_compilation</x:v>
      </x:c>
      <x:c r="I123" s="16" t="str">
        <x:v>087</x:v>
      </x:c>
      <x:c r="J123" s="22" t="str">
        <x:v>V. Vitagliano, Gazz. Chim. Ital. 90, 876 (1960)</x:v>
      </x:c>
      <x:c r="K123" s="22"/>
      <x:c r="L123" s="22" t="str">
        <x:v>lobo_1993 | V. M. M. Lobo (1993) | Pure and Applied Chemistry Table 1, ref. 87, PDF p. 14; directly tabulated value</x:v>
      </x:c>
      <x:c r="M123" s="16" t="str">
        <x:v>10.1351/pac199365122613</x:v>
      </x:c>
      <x:c r="N123" s="16" t="str">
        <x:v>data_source/lobo_1993.pdf</x:v>
      </x:c>
      <x:c r="O123" s="22" t="str">
        <x:v>Lobo 1993 Table 1, PDF pp.13–14; bibliography ref.87, PDF p.27</x:v>
      </x:c>
      <x:c r="P123" s="22" t="str">
        <x:v>compilation_table_verified_original_paper_not_archived</x:v>
      </x:c>
      <x:c r="Q123" s="22" t="str">
        <x:v>conditional_exploratory_pending_original_paper_audit</x:v>
      </x:c>
      <x:c r="R123" s="16" t="str">
        <x:v>retrospective_grouped_cv_pool</x:v>
      </x:c>
      <x:c r="S123" s="16" t="str">
        <x:v>COND:308.15K:3.53760000M</x:v>
      </x:c>
      <x:c r="T123" s="20" t="n">
        <x:v>1</x:v>
      </x:c>
      <x:c r="U123" s="16" t="str">
        <x:v>unique_state</x:v>
      </x:c>
      <x:c r="V123" s="22" t="str">
        <x:v>Lobo PDF pp.13–14 belong to the same original paper and are merged.</x:v>
      </x:c>
    </x:row>
    <x:row r="124" ht="39.599998474121094" hidden="0" customHeight="1">
      <x:c r="A124" s="16" t="str">
        <x:v>F40390</x:v>
      </x:c>
      <x:c r="B124" s="16" t="str">
        <x:v>LiCl-H2O</x:v>
      </x:c>
      <x:c r="C124" s="17" t="n">
        <x:v>308.15</x:v>
      </x:c>
      <x:c r="D124" s="18" t="n">
        <x:v>3.7947</x:v>
      </x:c>
      <x:c r="E124" s="19" t="n">
        <x:v>1.809</x:v>
      </x:c>
      <x:c r="F124" s="16" t="str">
        <x:v>BIB:LICL:LOBO1993:REF_087</x:v>
      </x:c>
      <x:c r="G124" s="16" t="str">
        <x:v>BIB:LICL:LOBO1993:REF_087</x:v>
      </x:c>
      <x:c r="H124" s="16" t="str">
        <x:v>bibliographic_original_study_via_compilation</x:v>
      </x:c>
      <x:c r="I124" s="16" t="str">
        <x:v>087</x:v>
      </x:c>
      <x:c r="J124" s="22" t="str">
        <x:v>V. Vitagliano, Gazz. Chim. Ital. 90, 876 (1960)</x:v>
      </x:c>
      <x:c r="K124" s="22"/>
      <x:c r="L124" s="22" t="str">
        <x:v>lobo_1993 | V. M. M. Lobo (1993) | Pure and Applied Chemistry Table 1, ref. 87, PDF p. 14; directly tabulated value</x:v>
      </x:c>
      <x:c r="M124" s="16" t="str">
        <x:v>10.1351/pac199365122613</x:v>
      </x:c>
      <x:c r="N124" s="16" t="str">
        <x:v>data_source/lobo_1993.pdf</x:v>
      </x:c>
      <x:c r="O124" s="22" t="str">
        <x:v>Lobo 1993 Table 1, PDF pp.13–14; bibliography ref.87, PDF p.27</x:v>
      </x:c>
      <x:c r="P124" s="22" t="str">
        <x:v>compilation_table_verified_original_paper_not_archived</x:v>
      </x:c>
      <x:c r="Q124" s="22" t="str">
        <x:v>conditional_exploratory_pending_original_paper_audit</x:v>
      </x:c>
      <x:c r="R124" s="16" t="str">
        <x:v>retrospective_grouped_cv_pool</x:v>
      </x:c>
      <x:c r="S124" s="16" t="str">
        <x:v>COND:308.15K:3.79470000M</x:v>
      </x:c>
      <x:c r="T124" s="20" t="n">
        <x:v>1</x:v>
      </x:c>
      <x:c r="U124" s="16" t="str">
        <x:v>unique_state</x:v>
      </x:c>
      <x:c r="V124" s="22" t="str">
        <x:v>Lobo PDF pp.13–14 belong to the same original paper and are merged.</x:v>
      </x:c>
    </x:row>
    <x:row r="125" ht="39.599998474121094" hidden="0" customHeight="1">
      <x:c r="A125" s="16" t="str">
        <x:v>F40391</x:v>
      </x:c>
      <x:c r="B125" s="16" t="str">
        <x:v>LiCl-H2O</x:v>
      </x:c>
      <x:c r="C125" s="17" t="n">
        <x:v>308.15</x:v>
      </x:c>
      <x:c r="D125" s="18" t="n">
        <x:v>4.3175</x:v>
      </x:c>
      <x:c r="E125" s="19" t="n">
        <x:v>1.82</x:v>
      </x:c>
      <x:c r="F125" s="16" t="str">
        <x:v>BIB:LICL:LOBO1993:REF_087</x:v>
      </x:c>
      <x:c r="G125" s="16" t="str">
        <x:v>BIB:LICL:LOBO1993:REF_087</x:v>
      </x:c>
      <x:c r="H125" s="16" t="str">
        <x:v>bibliographic_original_study_via_compilation</x:v>
      </x:c>
      <x:c r="I125" s="16" t="str">
        <x:v>087</x:v>
      </x:c>
      <x:c r="J125" s="22" t="str">
        <x:v>V. Vitagliano, Gazz. Chim. Ital. 90, 876 (1960)</x:v>
      </x:c>
      <x:c r="K125" s="22"/>
      <x:c r="L125" s="22" t="str">
        <x:v>lobo_1993 | V. M. M. Lobo (1993) | Pure and Applied Chemistry Table 1, ref. 87, PDF p. 14; directly tabulated value</x:v>
      </x:c>
      <x:c r="M125" s="16" t="str">
        <x:v>10.1351/pac199365122613</x:v>
      </x:c>
      <x:c r="N125" s="16" t="str">
        <x:v>data_source/lobo_1993.pdf</x:v>
      </x:c>
      <x:c r="O125" s="22" t="str">
        <x:v>Lobo 1993 Table 1, PDF pp.13–14; bibliography ref.87, PDF p.27</x:v>
      </x:c>
      <x:c r="P125" s="22" t="str">
        <x:v>compilation_table_verified_original_paper_not_archived</x:v>
      </x:c>
      <x:c r="Q125" s="22" t="str">
        <x:v>conditional_exploratory_pending_original_paper_audit</x:v>
      </x:c>
      <x:c r="R125" s="16" t="str">
        <x:v>retrospective_grouped_cv_pool</x:v>
      </x:c>
      <x:c r="S125" s="16" t="str">
        <x:v>COND:308.15K:4.31750000M</x:v>
      </x:c>
      <x:c r="T125" s="20" t="n">
        <x:v>1</x:v>
      </x:c>
      <x:c r="U125" s="16" t="str">
        <x:v>unique_state</x:v>
      </x:c>
      <x:c r="V125" s="22" t="str">
        <x:v>Lobo PDF pp.13–14 belong to the same original paper and are merged.</x:v>
      </x:c>
    </x:row>
    <x:row r="126" ht="39.599998474121094" hidden="0" customHeight="1">
      <x:c r="A126" s="16" t="str">
        <x:v>F40392</x:v>
      </x:c>
      <x:c r="B126" s="16" t="str">
        <x:v>LiCl-H2O</x:v>
      </x:c>
      <x:c r="C126" s="17" t="n">
        <x:v>308.15</x:v>
      </x:c>
      <x:c r="D126" s="18" t="n">
        <x:v>4.4077</x:v>
      </x:c>
      <x:c r="E126" s="19" t="n">
        <x:v>1.817</x:v>
      </x:c>
      <x:c r="F126" s="16" t="str">
        <x:v>BIB:LICL:LOBO1993:REF_087</x:v>
      </x:c>
      <x:c r="G126" s="16" t="str">
        <x:v>BIB:LICL:LOBO1993:REF_087</x:v>
      </x:c>
      <x:c r="H126" s="16" t="str">
        <x:v>bibliographic_original_study_via_compilation</x:v>
      </x:c>
      <x:c r="I126" s="16" t="str">
        <x:v>087</x:v>
      </x:c>
      <x:c r="J126" s="22" t="str">
        <x:v>V. Vitagliano, Gazz. Chim. Ital. 90, 876 (1960)</x:v>
      </x:c>
      <x:c r="K126" s="22"/>
      <x:c r="L126" s="22" t="str">
        <x:v>lobo_1993 | V. M. M. Lobo (1993) | Pure and Applied Chemistry Table 1, ref. 87, PDF p. 14; directly tabulated value</x:v>
      </x:c>
      <x:c r="M126" s="16" t="str">
        <x:v>10.1351/pac199365122613</x:v>
      </x:c>
      <x:c r="N126" s="16" t="str">
        <x:v>data_source/lobo_1993.pdf</x:v>
      </x:c>
      <x:c r="O126" s="22" t="str">
        <x:v>Lobo 1993 Table 1, PDF pp.13–14; bibliography ref.87, PDF p.27</x:v>
      </x:c>
      <x:c r="P126" s="22" t="str">
        <x:v>compilation_table_verified_original_paper_not_archived</x:v>
      </x:c>
      <x:c r="Q126" s="22" t="str">
        <x:v>conditional_exploratory_pending_original_paper_audit</x:v>
      </x:c>
      <x:c r="R126" s="16" t="str">
        <x:v>retrospective_grouped_cv_pool</x:v>
      </x:c>
      <x:c r="S126" s="16" t="str">
        <x:v>COND:308.15K:4.40770000M</x:v>
      </x:c>
      <x:c r="T126" s="20" t="n">
        <x:v>1</x:v>
      </x:c>
      <x:c r="U126" s="16" t="str">
        <x:v>unique_state</x:v>
      </x:c>
      <x:c r="V126" s="22" t="str">
        <x:v>Lobo PDF pp.13–14 belong to the same original paper and are merged.</x:v>
      </x:c>
    </x:row>
    <x:row r="127" ht="39.599998474121094" hidden="0" customHeight="1">
      <x:c r="A127" s="16" t="str">
        <x:v>F40393</x:v>
      </x:c>
      <x:c r="B127" s="16" t="str">
        <x:v>LiCl-H2O</x:v>
      </x:c>
      <x:c r="C127" s="17" t="n">
        <x:v>308.15</x:v>
      </x:c>
      <x:c r="D127" s="18" t="n">
        <x:v>4.9397</x:v>
      </x:c>
      <x:c r="E127" s="19" t="n">
        <x:v>1.822</x:v>
      </x:c>
      <x:c r="F127" s="16" t="str">
        <x:v>BIB:LICL:LOBO1993:REF_087</x:v>
      </x:c>
      <x:c r="G127" s="16" t="str">
        <x:v>BIB:LICL:LOBO1993:REF_087</x:v>
      </x:c>
      <x:c r="H127" s="16" t="str">
        <x:v>bibliographic_original_study_via_compilation</x:v>
      </x:c>
      <x:c r="I127" s="16" t="str">
        <x:v>087</x:v>
      </x:c>
      <x:c r="J127" s="22" t="str">
        <x:v>V. Vitagliano, Gazz. Chim. Ital. 90, 876 (1960)</x:v>
      </x:c>
      <x:c r="K127" s="22"/>
      <x:c r="L127" s="22" t="str">
        <x:v>lobo_1993 | V. M. M. Lobo (1993) | Pure and Applied Chemistry Table 1, ref. 87, PDF p. 14; directly tabulated value</x:v>
      </x:c>
      <x:c r="M127" s="16" t="str">
        <x:v>10.1351/pac199365122613</x:v>
      </x:c>
      <x:c r="N127" s="16" t="str">
        <x:v>data_source/lobo_1993.pdf</x:v>
      </x:c>
      <x:c r="O127" s="22" t="str">
        <x:v>Lobo 1993 Table 1, PDF pp.13–14; bibliography ref.87, PDF p.27</x:v>
      </x:c>
      <x:c r="P127" s="22" t="str">
        <x:v>compilation_table_verified_original_paper_not_archived</x:v>
      </x:c>
      <x:c r="Q127" s="22" t="str">
        <x:v>conditional_exploratory_pending_original_paper_audit</x:v>
      </x:c>
      <x:c r="R127" s="16" t="str">
        <x:v>retrospective_grouped_cv_pool</x:v>
      </x:c>
      <x:c r="S127" s="16" t="str">
        <x:v>COND:308.15K:4.93970000M</x:v>
      </x:c>
      <x:c r="T127" s="20" t="n">
        <x:v>1</x:v>
      </x:c>
      <x:c r="U127" s="16" t="str">
        <x:v>unique_state</x:v>
      </x:c>
      <x:c r="V127" s="22" t="str">
        <x:v>Lobo PDF pp.13–14 belong to the same original paper and are merged.</x:v>
      </x:c>
    </x:row>
    <x:row r="128" ht="39.599998474121094" hidden="0" customHeight="1">
      <x:c r="A128" s="16" t="str">
        <x:v>F40394</x:v>
      </x:c>
      <x:c r="B128" s="16" t="str">
        <x:v>LiCl-H2O</x:v>
      </x:c>
      <x:c r="C128" s="17" t="n">
        <x:v>308.15</x:v>
      </x:c>
      <x:c r="D128" s="18" t="n">
        <x:v>5.237</x:v>
      </x:c>
      <x:c r="E128" s="19" t="n">
        <x:v>1.822</x:v>
      </x:c>
      <x:c r="F128" s="16" t="str">
        <x:v>BIB:LICL:LOBO1993:REF_087</x:v>
      </x:c>
      <x:c r="G128" s="16" t="str">
        <x:v>BIB:LICL:LOBO1993:REF_087</x:v>
      </x:c>
      <x:c r="H128" s="16" t="str">
        <x:v>bibliographic_original_study_via_compilation</x:v>
      </x:c>
      <x:c r="I128" s="16" t="str">
        <x:v>087</x:v>
      </x:c>
      <x:c r="J128" s="22" t="str">
        <x:v>V. Vitagliano, Gazz. Chim. Ital. 90, 876 (1960)</x:v>
      </x:c>
      <x:c r="K128" s="22"/>
      <x:c r="L128" s="22" t="str">
        <x:v>lobo_1993 | V. M. M. Lobo (1993) | Pure and Applied Chemistry Table 1, ref. 87, PDF p. 14; directly tabulated value</x:v>
      </x:c>
      <x:c r="M128" s="16" t="str">
        <x:v>10.1351/pac199365122613</x:v>
      </x:c>
      <x:c r="N128" s="16" t="str">
        <x:v>data_source/lobo_1993.pdf</x:v>
      </x:c>
      <x:c r="O128" s="22" t="str">
        <x:v>Lobo 1993 Table 1, PDF pp.13–14; bibliography ref.87, PDF p.27</x:v>
      </x:c>
      <x:c r="P128" s="22" t="str">
        <x:v>compilation_table_verified_original_paper_not_archived</x:v>
      </x:c>
      <x:c r="Q128" s="22" t="str">
        <x:v>conditional_exploratory_pending_original_paper_audit</x:v>
      </x:c>
      <x:c r="R128" s="16" t="str">
        <x:v>retrospective_grouped_cv_pool</x:v>
      </x:c>
      <x:c r="S128" s="16" t="str">
        <x:v>COND:308.15K:5.23700000M</x:v>
      </x:c>
      <x:c r="T128" s="20" t="n">
        <x:v>1</x:v>
      </x:c>
      <x:c r="U128" s="16" t="str">
        <x:v>unique_state</x:v>
      </x:c>
      <x:c r="V128" s="22" t="str">
        <x:v>Lobo PDF pp.13–14 belong to the same original paper and are merged.</x:v>
      </x:c>
    </x:row>
    <x:row r="129" ht="39.599998474121094" hidden="0" customHeight="1">
      <x:c r="A129" s="16" t="str">
        <x:v>F40395</x:v>
      </x:c>
      <x:c r="B129" s="16" t="str">
        <x:v>LiCl-H2O</x:v>
      </x:c>
      <x:c r="C129" s="17" t="n">
        <x:v>308.15</x:v>
      </x:c>
      <x:c r="D129" s="18" t="n">
        <x:v>5.8114</x:v>
      </x:c>
      <x:c r="E129" s="19" t="n">
        <x:v>1.794</x:v>
      </x:c>
      <x:c r="F129" s="16" t="str">
        <x:v>BIB:LICL:LOBO1993:REF_087</x:v>
      </x:c>
      <x:c r="G129" s="16" t="str">
        <x:v>BIB:LICL:LOBO1993:REF_087</x:v>
      </x:c>
      <x:c r="H129" s="16" t="str">
        <x:v>bibliographic_original_study_via_compilation</x:v>
      </x:c>
      <x:c r="I129" s="16" t="str">
        <x:v>087</x:v>
      </x:c>
      <x:c r="J129" s="22" t="str">
        <x:v>V. Vitagliano, Gazz. Chim. Ital. 90, 876 (1960)</x:v>
      </x:c>
      <x:c r="K129" s="22"/>
      <x:c r="L129" s="22" t="str">
        <x:v>lobo_1993 | V. M. M. Lobo (1993) | Pure and Applied Chemistry Table 1, ref. 87, PDF p. 14; directly tabulated value</x:v>
      </x:c>
      <x:c r="M129" s="16" t="str">
        <x:v>10.1351/pac199365122613</x:v>
      </x:c>
      <x:c r="N129" s="16" t="str">
        <x:v>data_source/lobo_1993.pdf</x:v>
      </x:c>
      <x:c r="O129" s="22" t="str">
        <x:v>Lobo 1993 Table 1, PDF pp.13–14; bibliography ref.87, PDF p.27</x:v>
      </x:c>
      <x:c r="P129" s="22" t="str">
        <x:v>compilation_table_verified_original_paper_not_archived</x:v>
      </x:c>
      <x:c r="Q129" s="22" t="str">
        <x:v>conditional_exploratory_pending_original_paper_audit</x:v>
      </x:c>
      <x:c r="R129" s="16" t="str">
        <x:v>retrospective_grouped_cv_pool</x:v>
      </x:c>
      <x:c r="S129" s="16" t="str">
        <x:v>COND:308.15K:5.81140000M</x:v>
      </x:c>
      <x:c r="T129" s="20" t="n">
        <x:v>1</x:v>
      </x:c>
      <x:c r="U129" s="16" t="str">
        <x:v>unique_state</x:v>
      </x:c>
      <x:c r="V129" s="22" t="str">
        <x:v>Lobo PDF pp.13–14 belong to the same original paper and are merged.</x:v>
      </x:c>
    </x:row>
    <x:row r="130" ht="39.599998474121094" hidden="0" customHeight="1">
      <x:c r="A130" s="16" t="str">
        <x:v>F40396</x:v>
      </x:c>
      <x:c r="B130" s="16" t="str">
        <x:v>LiCl-H2O</x:v>
      </x:c>
      <x:c r="C130" s="17" t="n">
        <x:v>308.15</x:v>
      </x:c>
      <x:c r="D130" s="18" t="n">
        <x:v>6.5994</x:v>
      </x:c>
      <x:c r="E130" s="19" t="n">
        <x:v>1.741</x:v>
      </x:c>
      <x:c r="F130" s="16" t="str">
        <x:v>BIB:LICL:LOBO1993:REF_087</x:v>
      </x:c>
      <x:c r="G130" s="16" t="str">
        <x:v>BIB:LICL:LOBO1993:REF_087</x:v>
      </x:c>
      <x:c r="H130" s="16" t="str">
        <x:v>bibliographic_original_study_via_compilation</x:v>
      </x:c>
      <x:c r="I130" s="16" t="str">
        <x:v>087</x:v>
      </x:c>
      <x:c r="J130" s="22" t="str">
        <x:v>V. Vitagliano, Gazz. Chim. Ital. 90, 876 (1960)</x:v>
      </x:c>
      <x:c r="K130" s="22"/>
      <x:c r="L130" s="22" t="str">
        <x:v>lobo_1993 | V. M. M. Lobo (1993) | Pure and Applied Chemistry Table 1, ref. 87, PDF p. 14; directly tabulated value</x:v>
      </x:c>
      <x:c r="M130" s="16" t="str">
        <x:v>10.1351/pac199365122613</x:v>
      </x:c>
      <x:c r="N130" s="16" t="str">
        <x:v>data_source/lobo_1993.pdf</x:v>
      </x:c>
      <x:c r="O130" s="22" t="str">
        <x:v>Lobo 1993 Table 1, PDF pp.13–14; bibliography ref.87, PDF p.27</x:v>
      </x:c>
      <x:c r="P130" s="22" t="str">
        <x:v>compilation_table_verified_original_paper_not_archived</x:v>
      </x:c>
      <x:c r="Q130" s="22" t="str">
        <x:v>conditional_exploratory_pending_original_paper_audit</x:v>
      </x:c>
      <x:c r="R130" s="16" t="str">
        <x:v>retrospective_grouped_cv_pool</x:v>
      </x:c>
      <x:c r="S130" s="16" t="str">
        <x:v>COND:308.15K:6.59940000M</x:v>
      </x:c>
      <x:c r="T130" s="20" t="n">
        <x:v>1</x:v>
      </x:c>
      <x:c r="U130" s="16" t="str">
        <x:v>unique_state</x:v>
      </x:c>
      <x:c r="V130" s="22" t="str">
        <x:v>Lobo PDF pp.13–14 belong to the same original paper and are merged.</x:v>
      </x:c>
    </x:row>
    <x:row r="131" ht="39.599998474121094" hidden="0" customHeight="1">
      <x:c r="A131" s="16" t="str">
        <x:v>F40397</x:v>
      </x:c>
      <x:c r="B131" s="16" t="str">
        <x:v>LiCl-H2O</x:v>
      </x:c>
      <x:c r="C131" s="17" t="n">
        <x:v>308.15</x:v>
      </x:c>
      <x:c r="D131" s="18" t="n">
        <x:v>7.0118</x:v>
      </x:c>
      <x:c r="E131" s="19" t="n">
        <x:v>1.694</x:v>
      </x:c>
      <x:c r="F131" s="16" t="str">
        <x:v>BIB:LICL:LOBO1993:REF_087</x:v>
      </x:c>
      <x:c r="G131" s="16" t="str">
        <x:v>BIB:LICL:LOBO1993:REF_087</x:v>
      </x:c>
      <x:c r="H131" s="16" t="str">
        <x:v>bibliographic_original_study_via_compilation</x:v>
      </x:c>
      <x:c r="I131" s="16" t="str">
        <x:v>087</x:v>
      </x:c>
      <x:c r="J131" s="22" t="str">
        <x:v>V. Vitagliano, Gazz. Chim. Ital. 90, 876 (1960)</x:v>
      </x:c>
      <x:c r="K131" s="22"/>
      <x:c r="L131" s="22" t="str">
        <x:v>lobo_1993 | V. M. M. Lobo (1993) | Pure and Applied Chemistry Table 1, ref. 87, PDF p. 14; directly tabulated value</x:v>
      </x:c>
      <x:c r="M131" s="16" t="str">
        <x:v>10.1351/pac199365122613</x:v>
      </x:c>
      <x:c r="N131" s="16" t="str">
        <x:v>data_source/lobo_1993.pdf</x:v>
      </x:c>
      <x:c r="O131" s="22" t="str">
        <x:v>Lobo 1993 Table 1, PDF pp.13–14; bibliography ref.87, PDF p.27</x:v>
      </x:c>
      <x:c r="P131" s="22" t="str">
        <x:v>compilation_table_verified_original_paper_not_archived</x:v>
      </x:c>
      <x:c r="Q131" s="22" t="str">
        <x:v>conditional_exploratory_pending_original_paper_audit</x:v>
      </x:c>
      <x:c r="R131" s="16" t="str">
        <x:v>retrospective_grouped_cv_pool</x:v>
      </x:c>
      <x:c r="S131" s="16" t="str">
        <x:v>COND:308.15K:7.01180000M</x:v>
      </x:c>
      <x:c r="T131" s="20" t="n">
        <x:v>1</x:v>
      </x:c>
      <x:c r="U131" s="16" t="str">
        <x:v>unique_state</x:v>
      </x:c>
      <x:c r="V131" s="22" t="str">
        <x:v>Lobo PDF pp.13–14 belong to the same original paper and are merged.</x:v>
      </x:c>
    </x:row>
    <x:row r="132" ht="39.599998474121094" hidden="0" customHeight="1">
      <x:c r="A132" s="16" t="str">
        <x:v>F40398</x:v>
      </x:c>
      <x:c r="B132" s="16" t="str">
        <x:v>LiCl-H2O</x:v>
      </x:c>
      <x:c r="C132" s="17" t="n">
        <x:v>323.15</x:v>
      </x:c>
      <x:c r="D132" s="18" t="n">
        <x:v>0.1866</x:v>
      </x:c>
      <x:c r="E132" s="19" t="n">
        <x:v>2.19</x:v>
      </x:c>
      <x:c r="F132" s="16" t="str">
        <x:v>BIB:LICL:LOBO1993:REF_087</x:v>
      </x:c>
      <x:c r="G132" s="16" t="str">
        <x:v>BIB:LICL:LOBO1993:REF_087</x:v>
      </x:c>
      <x:c r="H132" s="16" t="str">
        <x:v>bibliographic_original_study_via_compilation</x:v>
      </x:c>
      <x:c r="I132" s="16" t="str">
        <x:v>087</x:v>
      </x:c>
      <x:c r="J132" s="22" t="str">
        <x:v>V. Vitagliano, Gazz. Chim. Ital. 90, 876 (1960)</x:v>
      </x:c>
      <x:c r="K132" s="22"/>
      <x:c r="L132" s="22" t="str">
        <x:v>lobo_1993 | V. M. M. Lobo (1993) | Pure and Applied Chemistry Table 1, ref. 87, PDF p. 14; directly tabulated value</x:v>
      </x:c>
      <x:c r="M132" s="16" t="str">
        <x:v>10.1351/pac199365122613</x:v>
      </x:c>
      <x:c r="N132" s="16" t="str">
        <x:v>data_source/lobo_1993.pdf</x:v>
      </x:c>
      <x:c r="O132" s="22" t="str">
        <x:v>Lobo 1993 Table 1, PDF pp.13–14; bibliography ref.87, PDF p.27</x:v>
      </x:c>
      <x:c r="P132" s="22" t="str">
        <x:v>compilation_table_verified_original_paper_not_archived</x:v>
      </x:c>
      <x:c r="Q132" s="22" t="str">
        <x:v>conditional_exploratory_pending_original_paper_audit</x:v>
      </x:c>
      <x:c r="R132" s="16" t="str">
        <x:v>retrospective_grouped_cv_pool</x:v>
      </x:c>
      <x:c r="S132" s="16" t="str">
        <x:v>COND:323.15K:0.18660000M</x:v>
      </x:c>
      <x:c r="T132" s="20" t="n">
        <x:v>1</x:v>
      </x:c>
      <x:c r="U132" s="16" t="str">
        <x:v>unique_state</x:v>
      </x:c>
      <x:c r="V132" s="22" t="str">
        <x:v>Lobo PDF pp.13–14 belong to the same original paper and are merged.</x:v>
      </x:c>
    </x:row>
    <x:row r="133" ht="39.599998474121094" hidden="0" customHeight="1">
      <x:c r="A133" s="16" t="str">
        <x:v>F40399</x:v>
      </x:c>
      <x:c r="B133" s="16" t="str">
        <x:v>LiCl-H2O</x:v>
      </x:c>
      <x:c r="C133" s="17" t="n">
        <x:v>323.15</x:v>
      </x:c>
      <x:c r="D133" s="18" t="n">
        <x:v>0.2457</x:v>
      </x:c>
      <x:c r="E133" s="19" t="n">
        <x:v>2.183</x:v>
      </x:c>
      <x:c r="F133" s="16" t="str">
        <x:v>BIB:LICL:LOBO1993:REF_087</x:v>
      </x:c>
      <x:c r="G133" s="16" t="str">
        <x:v>BIB:LICL:LOBO1993:REF_087</x:v>
      </x:c>
      <x:c r="H133" s="16" t="str">
        <x:v>bibliographic_original_study_via_compilation</x:v>
      </x:c>
      <x:c r="I133" s="16" t="str">
        <x:v>087</x:v>
      </x:c>
      <x:c r="J133" s="22" t="str">
        <x:v>V. Vitagliano, Gazz. Chim. Ital. 90, 876 (1960)</x:v>
      </x:c>
      <x:c r="K133" s="22"/>
      <x:c r="L133" s="22" t="str">
        <x:v>lobo_1993 | V. M. M. Lobo (1993) | Pure and Applied Chemistry Table 1, ref. 87, PDF p. 14; directly tabulated value</x:v>
      </x:c>
      <x:c r="M133" s="16" t="str">
        <x:v>10.1351/pac199365122613</x:v>
      </x:c>
      <x:c r="N133" s="16" t="str">
        <x:v>data_source/lobo_1993.pdf</x:v>
      </x:c>
      <x:c r="O133" s="22" t="str">
        <x:v>Lobo 1993 Table 1, PDF pp.13–14; bibliography ref.87, PDF p.27</x:v>
      </x:c>
      <x:c r="P133" s="22" t="str">
        <x:v>compilation_table_verified_original_paper_not_archived</x:v>
      </x:c>
      <x:c r="Q133" s="22" t="str">
        <x:v>conditional_exploratory_pending_original_paper_audit</x:v>
      </x:c>
      <x:c r="R133" s="16" t="str">
        <x:v>retrospective_grouped_cv_pool</x:v>
      </x:c>
      <x:c r="S133" s="16" t="str">
        <x:v>COND:323.15K:0.24570000M</x:v>
      </x:c>
      <x:c r="T133" s="20" t="n">
        <x:v>1</x:v>
      </x:c>
      <x:c r="U133" s="16" t="str">
        <x:v>unique_state</x:v>
      </x:c>
      <x:c r="V133" s="22" t="str">
        <x:v>Lobo PDF pp.13–14 belong to the same original paper and are merged.</x:v>
      </x:c>
    </x:row>
    <x:row r="134" ht="39.599998474121094" hidden="0" customHeight="1">
      <x:c r="A134" s="16" t="str">
        <x:v>F40400</x:v>
      </x:c>
      <x:c r="B134" s="16" t="str">
        <x:v>LiCl-H2O</x:v>
      </x:c>
      <x:c r="C134" s="17" t="n">
        <x:v>323.15</x:v>
      </x:c>
      <x:c r="D134" s="18" t="n">
        <x:v>0.2946</x:v>
      </x:c>
      <x:c r="E134" s="19" t="n">
        <x:v>2.176</x:v>
      </x:c>
      <x:c r="F134" s="16" t="str">
        <x:v>BIB:LICL:LOBO1993:REF_087</x:v>
      </x:c>
      <x:c r="G134" s="16" t="str">
        <x:v>BIB:LICL:LOBO1993:REF_087</x:v>
      </x:c>
      <x:c r="H134" s="16" t="str">
        <x:v>bibliographic_original_study_via_compilation</x:v>
      </x:c>
      <x:c r="I134" s="16" t="str">
        <x:v>087</x:v>
      </x:c>
      <x:c r="J134" s="22" t="str">
        <x:v>V. Vitagliano, Gazz. Chim. Ital. 90, 876 (1960)</x:v>
      </x:c>
      <x:c r="K134" s="22"/>
      <x:c r="L134" s="22" t="str">
        <x:v>lobo_1993 | V. M. M. Lobo (1993) | Pure and Applied Chemistry Table 1, ref. 87, PDF p. 14; directly tabulated value</x:v>
      </x:c>
      <x:c r="M134" s="16" t="str">
        <x:v>10.1351/pac199365122613</x:v>
      </x:c>
      <x:c r="N134" s="16" t="str">
        <x:v>data_source/lobo_1993.pdf</x:v>
      </x:c>
      <x:c r="O134" s="22" t="str">
        <x:v>Lobo 1993 Table 1, PDF pp.13–14; bibliography ref.87, PDF p.27</x:v>
      </x:c>
      <x:c r="P134" s="22" t="str">
        <x:v>compilation_table_verified_original_paper_not_archived</x:v>
      </x:c>
      <x:c r="Q134" s="22" t="str">
        <x:v>conditional_exploratory_pending_original_paper_audit</x:v>
      </x:c>
      <x:c r="R134" s="16" t="str">
        <x:v>retrospective_grouped_cv_pool</x:v>
      </x:c>
      <x:c r="S134" s="16" t="str">
        <x:v>COND:323.15K:0.29460000M</x:v>
      </x:c>
      <x:c r="T134" s="20" t="n">
        <x:v>1</x:v>
      </x:c>
      <x:c r="U134" s="16" t="str">
        <x:v>unique_state</x:v>
      </x:c>
      <x:c r="V134" s="22" t="str">
        <x:v>Lobo PDF pp.13–14 belong to the same original paper and are merged.</x:v>
      </x:c>
    </x:row>
    <x:row r="135" ht="39.599998474121094" hidden="0" customHeight="1">
      <x:c r="A135" s="16" t="str">
        <x:v>F40401</x:v>
      </x:c>
      <x:c r="B135" s="16" t="str">
        <x:v>LiCl-H2O</x:v>
      </x:c>
      <x:c r="C135" s="17" t="n">
        <x:v>323.15</x:v>
      </x:c>
      <x:c r="D135" s="18" t="n">
        <x:v>0.3925</x:v>
      </x:c>
      <x:c r="E135" s="19" t="n">
        <x:v>2.174</x:v>
      </x:c>
      <x:c r="F135" s="16" t="str">
        <x:v>BIB:LICL:LOBO1993:REF_087</x:v>
      </x:c>
      <x:c r="G135" s="16" t="str">
        <x:v>BIB:LICL:LOBO1993:REF_087</x:v>
      </x:c>
      <x:c r="H135" s="16" t="str">
        <x:v>bibliographic_original_study_via_compilation</x:v>
      </x:c>
      <x:c r="I135" s="16" t="str">
        <x:v>087</x:v>
      </x:c>
      <x:c r="J135" s="22" t="str">
        <x:v>V. Vitagliano, Gazz. Chim. Ital. 90, 876 (1960)</x:v>
      </x:c>
      <x:c r="K135" s="22"/>
      <x:c r="L135" s="22" t="str">
        <x:v>lobo_1993 | V. M. M. Lobo (1993) | Pure and Applied Chemistry Table 1, ref. 87, PDF p. 14; directly tabulated value</x:v>
      </x:c>
      <x:c r="M135" s="16" t="str">
        <x:v>10.1351/pac199365122613</x:v>
      </x:c>
      <x:c r="N135" s="16" t="str">
        <x:v>data_source/lobo_1993.pdf</x:v>
      </x:c>
      <x:c r="O135" s="22" t="str">
        <x:v>Lobo 1993 Table 1, PDF pp.13–14; bibliography ref.87, PDF p.27</x:v>
      </x:c>
      <x:c r="P135" s="22" t="str">
        <x:v>compilation_table_verified_original_paper_not_archived</x:v>
      </x:c>
      <x:c r="Q135" s="22" t="str">
        <x:v>conditional_exploratory_pending_original_paper_audit</x:v>
      </x:c>
      <x:c r="R135" s="16" t="str">
        <x:v>retrospective_grouped_cv_pool</x:v>
      </x:c>
      <x:c r="S135" s="16" t="str">
        <x:v>COND:323.15K:0.39250000M</x:v>
      </x:c>
      <x:c r="T135" s="20" t="n">
        <x:v>1</x:v>
      </x:c>
      <x:c r="U135" s="16" t="str">
        <x:v>unique_state</x:v>
      </x:c>
      <x:c r="V135" s="22" t="str">
        <x:v>Lobo PDF pp.13–14 belong to the same original paper and are merged.</x:v>
      </x:c>
    </x:row>
    <x:row r="136" ht="39.599998474121094" hidden="0" customHeight="1">
      <x:c r="A136" s="16" t="str">
        <x:v>F40402</x:v>
      </x:c>
      <x:c r="B136" s="16" t="str">
        <x:v>LiCl-H2O</x:v>
      </x:c>
      <x:c r="C136" s="17" t="n">
        <x:v>323.15</x:v>
      </x:c>
      <x:c r="D136" s="18" t="n">
        <x:v>0.4212</x:v>
      </x:c>
      <x:c r="E136" s="19" t="n">
        <x:v>2.176</x:v>
      </x:c>
      <x:c r="F136" s="16" t="str">
        <x:v>BIB:LICL:LOBO1993:REF_087</x:v>
      </x:c>
      <x:c r="G136" s="16" t="str">
        <x:v>BIB:LICL:LOBO1993:REF_087</x:v>
      </x:c>
      <x:c r="H136" s="16" t="str">
        <x:v>bibliographic_original_study_via_compilation</x:v>
      </x:c>
      <x:c r="I136" s="16" t="str">
        <x:v>087</x:v>
      </x:c>
      <x:c r="J136" s="22" t="str">
        <x:v>V. Vitagliano, Gazz. Chim. Ital. 90, 876 (1960)</x:v>
      </x:c>
      <x:c r="K136" s="22"/>
      <x:c r="L136" s="22" t="str">
        <x:v>lobo_1993 | V. M. M. Lobo (1993) | Pure and Applied Chemistry Table 1, ref. 87, PDF p. 14; directly tabulated value</x:v>
      </x:c>
      <x:c r="M136" s="16" t="str">
        <x:v>10.1351/pac199365122613</x:v>
      </x:c>
      <x:c r="N136" s="16" t="str">
        <x:v>data_source/lobo_1993.pdf</x:v>
      </x:c>
      <x:c r="O136" s="22" t="str">
        <x:v>Lobo 1993 Table 1, PDF pp.13–14; bibliography ref.87, PDF p.27</x:v>
      </x:c>
      <x:c r="P136" s="22" t="str">
        <x:v>compilation_table_verified_original_paper_not_archived</x:v>
      </x:c>
      <x:c r="Q136" s="22" t="str">
        <x:v>conditional_exploratory_pending_original_paper_audit</x:v>
      </x:c>
      <x:c r="R136" s="16" t="str">
        <x:v>retrospective_grouped_cv_pool</x:v>
      </x:c>
      <x:c r="S136" s="16" t="str">
        <x:v>COND:323.15K:0.42120000M</x:v>
      </x:c>
      <x:c r="T136" s="20" t="n">
        <x:v>1</x:v>
      </x:c>
      <x:c r="U136" s="16" t="str">
        <x:v>unique_state</x:v>
      </x:c>
      <x:c r="V136" s="22" t="str">
        <x:v>Lobo PDF pp.13–14 belong to the same original paper and are merged.</x:v>
      </x:c>
    </x:row>
    <x:row r="137" ht="39.599998474121094" hidden="0" customHeight="1">
      <x:c r="A137" s="16" t="str">
        <x:v>F40403</x:v>
      </x:c>
      <x:c r="B137" s="16" t="str">
        <x:v>LiCl-H2O</x:v>
      </x:c>
      <x:c r="C137" s="17" t="n">
        <x:v>323.15</x:v>
      </x:c>
      <x:c r="D137" s="18" t="n">
        <x:v>0.4892</x:v>
      </x:c>
      <x:c r="E137" s="19" t="n">
        <x:v>2.178</x:v>
      </x:c>
      <x:c r="F137" s="16" t="str">
        <x:v>BIB:LICL:LOBO1993:REF_087</x:v>
      </x:c>
      <x:c r="G137" s="16" t="str">
        <x:v>BIB:LICL:LOBO1993:REF_087</x:v>
      </x:c>
      <x:c r="H137" s="16" t="str">
        <x:v>bibliographic_original_study_via_compilation</x:v>
      </x:c>
      <x:c r="I137" s="16" t="str">
        <x:v>087</x:v>
      </x:c>
      <x:c r="J137" s="22" t="str">
        <x:v>V. Vitagliano, Gazz. Chim. Ital. 90, 876 (1960)</x:v>
      </x:c>
      <x:c r="K137" s="22"/>
      <x:c r="L137" s="22" t="str">
        <x:v>lobo_1993 | V. M. M. Lobo (1993) | Pure and Applied Chemistry Table 1, ref. 87, PDF p. 14; directly tabulated value</x:v>
      </x:c>
      <x:c r="M137" s="16" t="str">
        <x:v>10.1351/pac199365122613</x:v>
      </x:c>
      <x:c r="N137" s="16" t="str">
        <x:v>data_source/lobo_1993.pdf</x:v>
      </x:c>
      <x:c r="O137" s="22" t="str">
        <x:v>Lobo 1993 Table 1, PDF pp.13–14; bibliography ref.87, PDF p.27</x:v>
      </x:c>
      <x:c r="P137" s="22" t="str">
        <x:v>compilation_table_verified_original_paper_not_archived</x:v>
      </x:c>
      <x:c r="Q137" s="22" t="str">
        <x:v>conditional_exploratory_pending_original_paper_audit</x:v>
      </x:c>
      <x:c r="R137" s="16" t="str">
        <x:v>retrospective_grouped_cv_pool</x:v>
      </x:c>
      <x:c r="S137" s="16" t="str">
        <x:v>COND:323.15K:0.48920000M</x:v>
      </x:c>
      <x:c r="T137" s="20" t="n">
        <x:v>2</x:v>
      </x:c>
      <x:c r="U137" s="16" t="str">
        <x:v>review_same_state</x:v>
      </x:c>
      <x:c r="V137" s="22" t="str">
        <x:v>Lobo PDF pp.13–14 belong to the same original paper and are merged.</x:v>
      </x:c>
    </x:row>
    <x:row r="138" ht="39.599998474121094" hidden="0" customHeight="1">
      <x:c r="A138" s="16" t="str">
        <x:v>F40404</x:v>
      </x:c>
      <x:c r="B138" s="16" t="str">
        <x:v>LiCl-H2O</x:v>
      </x:c>
      <x:c r="C138" s="17" t="n">
        <x:v>323.15</x:v>
      </x:c>
      <x:c r="D138" s="18" t="n">
        <x:v>0.4892</x:v>
      </x:c>
      <x:c r="E138" s="19" t="n">
        <x:v>2.18</x:v>
      </x:c>
      <x:c r="F138" s="16" t="str">
        <x:v>BIB:LICL:LOBO1993:REF_087</x:v>
      </x:c>
      <x:c r="G138" s="16" t="str">
        <x:v>BIB:LICL:LOBO1993:REF_087</x:v>
      </x:c>
      <x:c r="H138" s="16" t="str">
        <x:v>bibliographic_original_study_via_compilation</x:v>
      </x:c>
      <x:c r="I138" s="16" t="str">
        <x:v>087</x:v>
      </x:c>
      <x:c r="J138" s="22" t="str">
        <x:v>V. Vitagliano, Gazz. Chim. Ital. 90, 876 (1960)</x:v>
      </x:c>
      <x:c r="K138" s="22"/>
      <x:c r="L138" s="22" t="str">
        <x:v>lobo_1993 | V. M. M. Lobo (1993) | Pure and Applied Chemistry Table 1, ref. 87, PDF p. 14; directly tabulated value</x:v>
      </x:c>
      <x:c r="M138" s="16" t="str">
        <x:v>10.1351/pac199365122613</x:v>
      </x:c>
      <x:c r="N138" s="16" t="str">
        <x:v>data_source/lobo_1993.pdf</x:v>
      </x:c>
      <x:c r="O138" s="22" t="str">
        <x:v>Lobo 1993 Table 1, PDF pp.13–14; bibliography ref.87, PDF p.27</x:v>
      </x:c>
      <x:c r="P138" s="22" t="str">
        <x:v>compilation_table_verified_original_paper_not_archived</x:v>
      </x:c>
      <x:c r="Q138" s="22" t="str">
        <x:v>conditional_exploratory_pending_original_paper_audit</x:v>
      </x:c>
      <x:c r="R138" s="16" t="str">
        <x:v>retrospective_grouped_cv_pool</x:v>
      </x:c>
      <x:c r="S138" s="16" t="str">
        <x:v>COND:323.15K:0.48920000M</x:v>
      </x:c>
      <x:c r="T138" s="20" t="n">
        <x:v>2</x:v>
      </x:c>
      <x:c r="U138" s="16" t="str">
        <x:v>review_same_state</x:v>
      </x:c>
      <x:c r="V138" s="22" t="str">
        <x:v>Lobo PDF pp.13–14 belong to the same original paper and are merged.</x:v>
      </x:c>
    </x:row>
    <x:row r="139" ht="39.599998474121094" hidden="0" customHeight="1">
      <x:c r="A139" s="16" t="str">
        <x:v>F40405</x:v>
      </x:c>
      <x:c r="B139" s="16" t="str">
        <x:v>LiCl-H2O</x:v>
      </x:c>
      <x:c r="C139" s="17" t="n">
        <x:v>323.15</x:v>
      </x:c>
      <x:c r="D139" s="18" t="n">
        <x:v>0.5866</x:v>
      </x:c>
      <x:c r="E139" s="19" t="n">
        <x:v>2.185</x:v>
      </x:c>
      <x:c r="F139" s="16" t="str">
        <x:v>BIB:LICL:LOBO1993:REF_087</x:v>
      </x:c>
      <x:c r="G139" s="16" t="str">
        <x:v>BIB:LICL:LOBO1993:REF_087</x:v>
      </x:c>
      <x:c r="H139" s="16" t="str">
        <x:v>bibliographic_original_study_via_compilation</x:v>
      </x:c>
      <x:c r="I139" s="16" t="str">
        <x:v>087</x:v>
      </x:c>
      <x:c r="J139" s="22" t="str">
        <x:v>V. Vitagliano, Gazz. Chim. Ital. 90, 876 (1960)</x:v>
      </x:c>
      <x:c r="K139" s="22"/>
      <x:c r="L139" s="22" t="str">
        <x:v>lobo_1993 | V. M. M. Lobo (1993) | Pure and Applied Chemistry Table 1, ref. 87, PDF p. 14; directly tabulated value</x:v>
      </x:c>
      <x:c r="M139" s="16" t="str">
        <x:v>10.1351/pac199365122613</x:v>
      </x:c>
      <x:c r="N139" s="16" t="str">
        <x:v>data_source/lobo_1993.pdf</x:v>
      </x:c>
      <x:c r="O139" s="22" t="str">
        <x:v>Lobo 1993 Table 1, PDF pp.13–14; bibliography ref.87, PDF p.27</x:v>
      </x:c>
      <x:c r="P139" s="22" t="str">
        <x:v>compilation_table_verified_original_paper_not_archived</x:v>
      </x:c>
      <x:c r="Q139" s="22" t="str">
        <x:v>conditional_exploratory_pending_original_paper_audit</x:v>
      </x:c>
      <x:c r="R139" s="16" t="str">
        <x:v>retrospective_grouped_cv_pool</x:v>
      </x:c>
      <x:c r="S139" s="16" t="str">
        <x:v>COND:323.15K:0.58660000M</x:v>
      </x:c>
      <x:c r="T139" s="20" t="n">
        <x:v>1</x:v>
      </x:c>
      <x:c r="U139" s="16" t="str">
        <x:v>unique_state</x:v>
      </x:c>
      <x:c r="V139" s="22" t="str">
        <x:v>Lobo PDF pp.13–14 belong to the same original paper and are merged.</x:v>
      </x:c>
    </x:row>
    <x:row r="140" ht="39.599998474121094" hidden="0" customHeight="1">
      <x:c r="A140" s="16" t="str">
        <x:v>F40406</x:v>
      </x:c>
      <x:c r="B140" s="16" t="str">
        <x:v>LiCl-H2O</x:v>
      </x:c>
      <x:c r="C140" s="17" t="n">
        <x:v>323.15</x:v>
      </x:c>
      <x:c r="D140" s="18" t="n">
        <x:v>0.9701</x:v>
      </x:c>
      <x:c r="E140" s="19" t="n">
        <x:v>2.21</x:v>
      </x:c>
      <x:c r="F140" s="16" t="str">
        <x:v>BIB:LICL:LOBO1993:REF_087</x:v>
      </x:c>
      <x:c r="G140" s="16" t="str">
        <x:v>BIB:LICL:LOBO1993:REF_087</x:v>
      </x:c>
      <x:c r="H140" s="16" t="str">
        <x:v>bibliographic_original_study_via_compilation</x:v>
      </x:c>
      <x:c r="I140" s="16" t="str">
        <x:v>087</x:v>
      </x:c>
      <x:c r="J140" s="22" t="str">
        <x:v>V. Vitagliano, Gazz. Chim. Ital. 90, 876 (1960)</x:v>
      </x:c>
      <x:c r="K140" s="22"/>
      <x:c r="L140" s="22" t="str">
        <x:v>lobo_1993 | V. M. M. Lobo (1993) | Pure and Applied Chemistry Table 1, ref. 87, PDF p. 14; directly tabulated value</x:v>
      </x:c>
      <x:c r="M140" s="16" t="str">
        <x:v>10.1351/pac199365122613</x:v>
      </x:c>
      <x:c r="N140" s="16" t="str">
        <x:v>data_source/lobo_1993.pdf</x:v>
      </x:c>
      <x:c r="O140" s="22" t="str">
        <x:v>Lobo 1993 Table 1, PDF pp.13–14; bibliography ref.87, PDF p.27</x:v>
      </x:c>
      <x:c r="P140" s="22" t="str">
        <x:v>compilation_table_verified_original_paper_not_archived</x:v>
      </x:c>
      <x:c r="Q140" s="22" t="str">
        <x:v>conditional_exploratory_pending_original_paper_audit</x:v>
      </x:c>
      <x:c r="R140" s="16" t="str">
        <x:v>retrospective_grouped_cv_pool</x:v>
      </x:c>
      <x:c r="S140" s="16" t="str">
        <x:v>COND:323.15K:0.97010000M</x:v>
      </x:c>
      <x:c r="T140" s="20" t="n">
        <x:v>1</x:v>
      </x:c>
      <x:c r="U140" s="16" t="str">
        <x:v>unique_state</x:v>
      </x:c>
      <x:c r="V140" s="22" t="str">
        <x:v>Lobo PDF pp.13–14 belong to the same original paper and are merged.</x:v>
      </x:c>
    </x:row>
    <x:row r="141" ht="39.599998474121094" hidden="0" customHeight="1">
      <x:c r="A141" s="16" t="str">
        <x:v>F40407</x:v>
      </x:c>
      <x:c r="B141" s="16" t="str">
        <x:v>LiCl-H2O</x:v>
      </x:c>
      <x:c r="C141" s="17" t="n">
        <x:v>323.15</x:v>
      </x:c>
      <x:c r="D141" s="18" t="n">
        <x:v>1.2323</x:v>
      </x:c>
      <x:c r="E141" s="19" t="n">
        <x:v>2.242</x:v>
      </x:c>
      <x:c r="F141" s="16" t="str">
        <x:v>BIB:LICL:LOBO1993:REF_087</x:v>
      </x:c>
      <x:c r="G141" s="16" t="str">
        <x:v>BIB:LICL:LOBO1993:REF_087</x:v>
      </x:c>
      <x:c r="H141" s="16" t="str">
        <x:v>bibliographic_original_study_via_compilation</x:v>
      </x:c>
      <x:c r="I141" s="16" t="str">
        <x:v>087</x:v>
      </x:c>
      <x:c r="J141" s="22" t="str">
        <x:v>V. Vitagliano, Gazz. Chim. Ital. 90, 876 (1960)</x:v>
      </x:c>
      <x:c r="K141" s="22"/>
      <x:c r="L141" s="22" t="str">
        <x:v>lobo_1993 | V. M. M. Lobo (1993) | Pure and Applied Chemistry Table 1, ref. 87, PDF p. 14; directly tabulated value</x:v>
      </x:c>
      <x:c r="M141" s="16" t="str">
        <x:v>10.1351/pac199365122613</x:v>
      </x:c>
      <x:c r="N141" s="16" t="str">
        <x:v>data_source/lobo_1993.pdf</x:v>
      </x:c>
      <x:c r="O141" s="22" t="str">
        <x:v>Lobo 1993 Table 1, PDF pp.13–14; bibliography ref.87, PDF p.27</x:v>
      </x:c>
      <x:c r="P141" s="22" t="str">
        <x:v>compilation_table_verified_original_paper_not_archived</x:v>
      </x:c>
      <x:c r="Q141" s="22" t="str">
        <x:v>conditional_exploratory_pending_original_paper_audit</x:v>
      </x:c>
      <x:c r="R141" s="16" t="str">
        <x:v>retrospective_grouped_cv_pool</x:v>
      </x:c>
      <x:c r="S141" s="16" t="str">
        <x:v>COND:323.15K:1.23230000M</x:v>
      </x:c>
      <x:c r="T141" s="20" t="n">
        <x:v>1</x:v>
      </x:c>
      <x:c r="U141" s="16" t="str">
        <x:v>unique_state</x:v>
      </x:c>
      <x:c r="V141" s="22" t="str">
        <x:v>Lobo PDF pp.13–14 belong to the same original paper and are merged.</x:v>
      </x:c>
    </x:row>
    <x:row r="142" ht="39.599998474121094" hidden="0" customHeight="1">
      <x:c r="A142" s="16" t="str">
        <x:v>F40408</x:v>
      </x:c>
      <x:c r="B142" s="16" t="str">
        <x:v>LiCl-H2O</x:v>
      </x:c>
      <x:c r="C142" s="17" t="n">
        <x:v>323.15</x:v>
      </x:c>
      <x:c r="D142" s="18" t="n">
        <x:v>1.4418</x:v>
      </x:c>
      <x:c r="E142" s="19" t="n">
        <x:v>2.262</x:v>
      </x:c>
      <x:c r="F142" s="16" t="str">
        <x:v>BIB:LICL:LOBO1993:REF_087</x:v>
      </x:c>
      <x:c r="G142" s="16" t="str">
        <x:v>BIB:LICL:LOBO1993:REF_087</x:v>
      </x:c>
      <x:c r="H142" s="16" t="str">
        <x:v>bibliographic_original_study_via_compilation</x:v>
      </x:c>
      <x:c r="I142" s="16" t="str">
        <x:v>087</x:v>
      </x:c>
      <x:c r="J142" s="22" t="str">
        <x:v>V. Vitagliano, Gazz. Chim. Ital. 90, 876 (1960)</x:v>
      </x:c>
      <x:c r="K142" s="22"/>
      <x:c r="L142" s="22" t="str">
        <x:v>lobo_1993 | V. M. M. Lobo (1993) | Pure and Applied Chemistry Table 1, ref. 87, PDF p. 14; directly tabulated value</x:v>
      </x:c>
      <x:c r="M142" s="16" t="str">
        <x:v>10.1351/pac199365122613</x:v>
      </x:c>
      <x:c r="N142" s="16" t="str">
        <x:v>data_source/lobo_1993.pdf</x:v>
      </x:c>
      <x:c r="O142" s="22" t="str">
        <x:v>Lobo 1993 Table 1, PDF pp.13–14; bibliography ref.87, PDF p.27</x:v>
      </x:c>
      <x:c r="P142" s="22" t="str">
        <x:v>compilation_table_verified_original_paper_not_archived</x:v>
      </x:c>
      <x:c r="Q142" s="22" t="str">
        <x:v>conditional_exploratory_pending_original_paper_audit</x:v>
      </x:c>
      <x:c r="R142" s="16" t="str">
        <x:v>retrospective_grouped_cv_pool</x:v>
      </x:c>
      <x:c r="S142" s="16" t="str">
        <x:v>COND:323.15K:1.44180000M</x:v>
      </x:c>
      <x:c r="T142" s="20" t="n">
        <x:v>1</x:v>
      </x:c>
      <x:c r="U142" s="16" t="str">
        <x:v>unique_state</x:v>
      </x:c>
      <x:c r="V142" s="22" t="str">
        <x:v>Lobo PDF pp.13–14 belong to the same original paper and are merged.</x:v>
      </x:c>
    </x:row>
    <x:row r="143" ht="39.599998474121094" hidden="0" customHeight="1">
      <x:c r="A143" s="16" t="str">
        <x:v>F40409</x:v>
      </x:c>
      <x:c r="B143" s="16" t="str">
        <x:v>LiCl-H2O</x:v>
      </x:c>
      <x:c r="C143" s="17" t="n">
        <x:v>323.15</x:v>
      </x:c>
      <x:c r="D143" s="18" t="n">
        <x:v>1.4419</x:v>
      </x:c>
      <x:c r="E143" s="19" t="n">
        <x:v>2.264</x:v>
      </x:c>
      <x:c r="F143" s="16" t="str">
        <x:v>BIB:LICL:LOBO1993:REF_087</x:v>
      </x:c>
      <x:c r="G143" s="16" t="str">
        <x:v>BIB:LICL:LOBO1993:REF_087</x:v>
      </x:c>
      <x:c r="H143" s="16" t="str">
        <x:v>bibliographic_original_study_via_compilation</x:v>
      </x:c>
      <x:c r="I143" s="16" t="str">
        <x:v>087</x:v>
      </x:c>
      <x:c r="J143" s="22" t="str">
        <x:v>V. Vitagliano, Gazz. Chim. Ital. 90, 876 (1960)</x:v>
      </x:c>
      <x:c r="K143" s="22"/>
      <x:c r="L143" s="22" t="str">
        <x:v>lobo_1993 | V. M. M. Lobo (1993) | Pure and Applied Chemistry Table 1, ref. 87, PDF p. 14; directly tabulated value</x:v>
      </x:c>
      <x:c r="M143" s="16" t="str">
        <x:v>10.1351/pac199365122613</x:v>
      </x:c>
      <x:c r="N143" s="16" t="str">
        <x:v>data_source/lobo_1993.pdf</x:v>
      </x:c>
      <x:c r="O143" s="22" t="str">
        <x:v>Lobo 1993 Table 1, PDF pp.13–14; bibliography ref.87, PDF p.27</x:v>
      </x:c>
      <x:c r="P143" s="22" t="str">
        <x:v>compilation_table_verified_original_paper_not_archived</x:v>
      </x:c>
      <x:c r="Q143" s="22" t="str">
        <x:v>conditional_exploratory_pending_original_paper_audit</x:v>
      </x:c>
      <x:c r="R143" s="16" t="str">
        <x:v>retrospective_grouped_cv_pool</x:v>
      </x:c>
      <x:c r="S143" s="16" t="str">
        <x:v>COND:323.15K:1.44190000M</x:v>
      </x:c>
      <x:c r="T143" s="20" t="n">
        <x:v>1</x:v>
      </x:c>
      <x:c r="U143" s="16" t="str">
        <x:v>unique_state</x:v>
      </x:c>
      <x:c r="V143" s="22" t="str">
        <x:v>Lobo PDF pp.13–14 belong to the same original paper and are merged.</x:v>
      </x:c>
    </x:row>
    <x:row r="144" ht="39.599998474121094" hidden="0" customHeight="1">
      <x:c r="A144" s="16" t="str">
        <x:v>F40410</x:v>
      </x:c>
      <x:c r="B144" s="16" t="str">
        <x:v>LiCl-H2O</x:v>
      </x:c>
      <x:c r="C144" s="17" t="n">
        <x:v>323.15</x:v>
      </x:c>
      <x:c r="D144" s="18" t="n">
        <x:v>1.9042</x:v>
      </x:c>
      <x:c r="E144" s="19" t="n">
        <x:v>2.306</x:v>
      </x:c>
      <x:c r="F144" s="16" t="str">
        <x:v>BIB:LICL:LOBO1993:REF_087</x:v>
      </x:c>
      <x:c r="G144" s="16" t="str">
        <x:v>BIB:LICL:LOBO1993:REF_087</x:v>
      </x:c>
      <x:c r="H144" s="16" t="str">
        <x:v>bibliographic_original_study_via_compilation</x:v>
      </x:c>
      <x:c r="I144" s="16" t="str">
        <x:v>087</x:v>
      </x:c>
      <x:c r="J144" s="22" t="str">
        <x:v>V. Vitagliano, Gazz. Chim. Ital. 90, 876 (1960)</x:v>
      </x:c>
      <x:c r="K144" s="22"/>
      <x:c r="L144" s="22" t="str">
        <x:v>lobo_1993 | V. M. M. Lobo (1993) | Pure and Applied Chemistry Table 1, ref. 87, PDF p. 14; directly tabulated value</x:v>
      </x:c>
      <x:c r="M144" s="16" t="str">
        <x:v>10.1351/pac199365122613</x:v>
      </x:c>
      <x:c r="N144" s="16" t="str">
        <x:v>data_source/lobo_1993.pdf</x:v>
      </x:c>
      <x:c r="O144" s="22" t="str">
        <x:v>Lobo 1993 Table 1, PDF pp.13–14; bibliography ref.87, PDF p.27</x:v>
      </x:c>
      <x:c r="P144" s="22" t="str">
        <x:v>compilation_table_verified_original_paper_not_archived</x:v>
      </x:c>
      <x:c r="Q144" s="22" t="str">
        <x:v>conditional_exploratory_pending_original_paper_audit</x:v>
      </x:c>
      <x:c r="R144" s="16" t="str">
        <x:v>retrospective_grouped_cv_pool</x:v>
      </x:c>
      <x:c r="S144" s="16" t="str">
        <x:v>COND:323.15K:1.90420000M</x:v>
      </x:c>
      <x:c r="T144" s="20" t="n">
        <x:v>1</x:v>
      </x:c>
      <x:c r="U144" s="16" t="str">
        <x:v>unique_state</x:v>
      </x:c>
      <x:c r="V144" s="22" t="str">
        <x:v>Lobo PDF pp.13–14 belong to the same original paper and are merged.</x:v>
      </x:c>
    </x:row>
    <x:row r="145" ht="39.599998474121094" hidden="0" customHeight="1">
      <x:c r="A145" s="16" t="str">
        <x:v>F40412</x:v>
      </x:c>
      <x:c r="B145" s="16" t="str">
        <x:v>LiCl-H2O</x:v>
      </x:c>
      <x:c r="C145" s="17" t="n">
        <x:v>323.15</x:v>
      </x:c>
      <x:c r="D145" s="18" t="n">
        <x:v>2.358</x:v>
      </x:c>
      <x:c r="E145" s="19" t="n">
        <x:v>2.334</x:v>
      </x:c>
      <x:c r="F145" s="16" t="str">
        <x:v>BIB:LICL:LOBO1993:REF_087</x:v>
      </x:c>
      <x:c r="G145" s="16" t="str">
        <x:v>BIB:LICL:LOBO1993:REF_087</x:v>
      </x:c>
      <x:c r="H145" s="16" t="str">
        <x:v>bibliographic_original_study_via_compilation</x:v>
      </x:c>
      <x:c r="I145" s="16" t="str">
        <x:v>087</x:v>
      </x:c>
      <x:c r="J145" s="22" t="str">
        <x:v>V. Vitagliano, Gazz. Chim. Ital. 90, 876 (1960)</x:v>
      </x:c>
      <x:c r="K145" s="22"/>
      <x:c r="L145" s="22" t="str">
        <x:v>lobo_1993 | V. M. M. Lobo (1993) | Pure and Applied Chemistry Table 1, ref. 87, PDF p. 14; directly tabulated value</x:v>
      </x:c>
      <x:c r="M145" s="16" t="str">
        <x:v>10.1351/pac199365122613</x:v>
      </x:c>
      <x:c r="N145" s="16" t="str">
        <x:v>data_source/lobo_1993.pdf</x:v>
      </x:c>
      <x:c r="O145" s="22" t="str">
        <x:v>Lobo 1993 Table 1, PDF pp.13–14; bibliography ref.87, PDF p.27</x:v>
      </x:c>
      <x:c r="P145" s="22" t="str">
        <x:v>compilation_table_verified_original_paper_not_archived</x:v>
      </x:c>
      <x:c r="Q145" s="22" t="str">
        <x:v>conditional_exploratory_pending_original_paper_audit</x:v>
      </x:c>
      <x:c r="R145" s="16" t="str">
        <x:v>retrospective_grouped_cv_pool</x:v>
      </x:c>
      <x:c r="S145" s="16" t="str">
        <x:v>COND:323.15K:2.35800000M</x:v>
      </x:c>
      <x:c r="T145" s="20" t="n">
        <x:v>1</x:v>
      </x:c>
      <x:c r="U145" s="16" t="str">
        <x:v>unique_state</x:v>
      </x:c>
      <x:c r="V145" s="22" t="str">
        <x:v>Lobo PDF pp.13–14 belong to the same original paper and are merged.</x:v>
      </x:c>
    </x:row>
    <x:row r="146" ht="39.599998474121094" hidden="0" customHeight="1">
      <x:c r="A146" s="16" t="str">
        <x:v>F40411</x:v>
      </x:c>
      <x:c r="B146" s="16" t="str">
        <x:v>LiCl-H2O</x:v>
      </x:c>
      <x:c r="C146" s="17" t="n">
        <x:v>323.15</x:v>
      </x:c>
      <x:c r="D146" s="18" t="n">
        <x:v>2.3581</x:v>
      </x:c>
      <x:c r="E146" s="19" t="n">
        <x:v>2.334</x:v>
      </x:c>
      <x:c r="F146" s="16" t="str">
        <x:v>BIB:LICL:LOBO1993:REF_087</x:v>
      </x:c>
      <x:c r="G146" s="16" t="str">
        <x:v>BIB:LICL:LOBO1993:REF_087</x:v>
      </x:c>
      <x:c r="H146" s="16" t="str">
        <x:v>bibliographic_original_study_via_compilation</x:v>
      </x:c>
      <x:c r="I146" s="16" t="str">
        <x:v>087</x:v>
      </x:c>
      <x:c r="J146" s="22" t="str">
        <x:v>V. Vitagliano, Gazz. Chim. Ital. 90, 876 (1960)</x:v>
      </x:c>
      <x:c r="K146" s="22"/>
      <x:c r="L146" s="22" t="str">
        <x:v>lobo_1993 | V. M. M. Lobo (1993) | Pure and Applied Chemistry Table 1, ref. 87, PDF p. 14; directly tabulated value</x:v>
      </x:c>
      <x:c r="M146" s="16" t="str">
        <x:v>10.1351/pac199365122613</x:v>
      </x:c>
      <x:c r="N146" s="16" t="str">
        <x:v>data_source/lobo_1993.pdf</x:v>
      </x:c>
      <x:c r="O146" s="22" t="str">
        <x:v>Lobo 1993 Table 1, PDF pp.13–14; bibliography ref.87, PDF p.27</x:v>
      </x:c>
      <x:c r="P146" s="22" t="str">
        <x:v>compilation_table_verified_original_paper_not_archived</x:v>
      </x:c>
      <x:c r="Q146" s="22" t="str">
        <x:v>conditional_exploratory_pending_original_paper_audit</x:v>
      </x:c>
      <x:c r="R146" s="16" t="str">
        <x:v>retrospective_grouped_cv_pool</x:v>
      </x:c>
      <x:c r="S146" s="16" t="str">
        <x:v>COND:323.15K:2.35810000M</x:v>
      </x:c>
      <x:c r="T146" s="20" t="n">
        <x:v>1</x:v>
      </x:c>
      <x:c r="U146" s="16" t="str">
        <x:v>unique_state</x:v>
      </x:c>
      <x:c r="V146" s="22" t="str">
        <x:v>Lobo PDF pp.13–14 belong to the same original paper and are merged.</x:v>
      </x:c>
    </x:row>
    <x:row r="147" ht="39.599998474121094" hidden="0" customHeight="1">
      <x:c r="A147" s="16" t="str">
        <x:v>F40413</x:v>
      </x:c>
      <x:c r="B147" s="16" t="str">
        <x:v>LiCl-H2O</x:v>
      </x:c>
      <x:c r="C147" s="17" t="n">
        <x:v>323.15</x:v>
      </x:c>
      <x:c r="D147" s="18" t="n">
        <x:v>2.8026</x:v>
      </x:c>
      <x:c r="E147" s="19" t="n">
        <x:v>2.362</x:v>
      </x:c>
      <x:c r="F147" s="16" t="str">
        <x:v>BIB:LICL:LOBO1993:REF_087</x:v>
      </x:c>
      <x:c r="G147" s="16" t="str">
        <x:v>BIB:LICL:LOBO1993:REF_087</x:v>
      </x:c>
      <x:c r="H147" s="16" t="str">
        <x:v>bibliographic_original_study_via_compilation</x:v>
      </x:c>
      <x:c r="I147" s="16" t="str">
        <x:v>087</x:v>
      </x:c>
      <x:c r="J147" s="22" t="str">
        <x:v>V. Vitagliano, Gazz. Chim. Ital. 90, 876 (1960)</x:v>
      </x:c>
      <x:c r="K147" s="22"/>
      <x:c r="L147" s="22" t="str">
        <x:v>lobo_1993 | V. M. M. Lobo (1993) | Pure and Applied Chemistry Table 1, ref. 87, PDF p. 14; directly tabulated value</x:v>
      </x:c>
      <x:c r="M147" s="16" t="str">
        <x:v>10.1351/pac199365122613</x:v>
      </x:c>
      <x:c r="N147" s="16" t="str">
        <x:v>data_source/lobo_1993.pdf</x:v>
      </x:c>
      <x:c r="O147" s="22" t="str">
        <x:v>Lobo 1993 Table 1, PDF pp.13–14; bibliography ref.87, PDF p.27</x:v>
      </x:c>
      <x:c r="P147" s="22" t="str">
        <x:v>compilation_table_verified_original_paper_not_archived</x:v>
      </x:c>
      <x:c r="Q147" s="22" t="str">
        <x:v>conditional_exploratory_pending_original_paper_audit</x:v>
      </x:c>
      <x:c r="R147" s="16" t="str">
        <x:v>retrospective_grouped_cv_pool</x:v>
      </x:c>
      <x:c r="S147" s="16" t="str">
        <x:v>COND:323.15K:2.80260000M</x:v>
      </x:c>
      <x:c r="T147" s="20" t="n">
        <x:v>1</x:v>
      </x:c>
      <x:c r="U147" s="16" t="str">
        <x:v>unique_state</x:v>
      </x:c>
      <x:c r="V147" s="22" t="str">
        <x:v>Lobo PDF pp.13–14 belong to the same original paper and are merged.</x:v>
      </x:c>
    </x:row>
    <x:row r="148" ht="39.599998474121094" hidden="0" customHeight="1">
      <x:c r="A148" s="16" t="str">
        <x:v>F40414</x:v>
      </x:c>
      <x:c r="B148" s="16" t="str">
        <x:v>LiCl-H2O</x:v>
      </x:c>
      <x:c r="C148" s="17" t="n">
        <x:v>323.15</x:v>
      </x:c>
      <x:c r="D148" s="18" t="n">
        <x:v>3.6627</x:v>
      </x:c>
      <x:c r="E148" s="19" t="n">
        <x:v>2.394</x:v>
      </x:c>
      <x:c r="F148" s="16" t="str">
        <x:v>BIB:LICL:LOBO1993:REF_087</x:v>
      </x:c>
      <x:c r="G148" s="16" t="str">
        <x:v>BIB:LICL:LOBO1993:REF_087</x:v>
      </x:c>
      <x:c r="H148" s="16" t="str">
        <x:v>bibliographic_original_study_via_compilation</x:v>
      </x:c>
      <x:c r="I148" s="16" t="str">
        <x:v>087</x:v>
      </x:c>
      <x:c r="J148" s="22" t="str">
        <x:v>V. Vitagliano, Gazz. Chim. Ital. 90, 876 (1960)</x:v>
      </x:c>
      <x:c r="K148" s="22"/>
      <x:c r="L148" s="22" t="str">
        <x:v>lobo_1993 | V. M. M. Lobo (1993) | Pure and Applied Chemistry Table 1, ref. 87, PDF p. 14; directly tabulated value</x:v>
      </x:c>
      <x:c r="M148" s="16" t="str">
        <x:v>10.1351/pac199365122613</x:v>
      </x:c>
      <x:c r="N148" s="16" t="str">
        <x:v>data_source/lobo_1993.pdf</x:v>
      </x:c>
      <x:c r="O148" s="22" t="str">
        <x:v>Lobo 1993 Table 1, PDF pp.13–14; bibliography ref.87, PDF p.27</x:v>
      </x:c>
      <x:c r="P148" s="22" t="str">
        <x:v>compilation_table_verified_original_paper_not_archived</x:v>
      </x:c>
      <x:c r="Q148" s="22" t="str">
        <x:v>conditional_exploratory_pending_original_paper_audit</x:v>
      </x:c>
      <x:c r="R148" s="16" t="str">
        <x:v>retrospective_grouped_cv_pool</x:v>
      </x:c>
      <x:c r="S148" s="16" t="str">
        <x:v>COND:323.15K:3.66270000M</x:v>
      </x:c>
      <x:c r="T148" s="20" t="n">
        <x:v>1</x:v>
      </x:c>
      <x:c r="U148" s="16" t="str">
        <x:v>unique_state</x:v>
      </x:c>
      <x:c r="V148" s="22" t="str">
        <x:v>Lobo PDF pp.13–14 belong to the same original paper and are merged.</x:v>
      </x:c>
    </x:row>
    <x:row r="149" ht="39.599998474121094" hidden="0" customHeight="1">
      <x:c r="A149" s="16" t="str">
        <x:v>F40415</x:v>
      </x:c>
      <x:c r="B149" s="16" t="str">
        <x:v>LiCl-H2O</x:v>
      </x:c>
      <x:c r="C149" s="17" t="n">
        <x:v>323.15</x:v>
      </x:c>
      <x:c r="D149" s="18" t="n">
        <x:v>3.6656</x:v>
      </x:c>
      <x:c r="E149" s="19" t="n">
        <x:v>2.397</x:v>
      </x:c>
      <x:c r="F149" s="16" t="str">
        <x:v>BIB:LICL:LOBO1993:REF_087</x:v>
      </x:c>
      <x:c r="G149" s="16" t="str">
        <x:v>BIB:LICL:LOBO1993:REF_087</x:v>
      </x:c>
      <x:c r="H149" s="16" t="str">
        <x:v>bibliographic_original_study_via_compilation</x:v>
      </x:c>
      <x:c r="I149" s="16" t="str">
        <x:v>087</x:v>
      </x:c>
      <x:c r="J149" s="22" t="str">
        <x:v>V. Vitagliano, Gazz. Chim. Ital. 90, 876 (1960)</x:v>
      </x:c>
      <x:c r="K149" s="22"/>
      <x:c r="L149" s="22" t="str">
        <x:v>lobo_1993 | V. M. M. Lobo (1993) | Pure and Applied Chemistry Table 1, ref. 87, PDF p. 14; directly tabulated value</x:v>
      </x:c>
      <x:c r="M149" s="16" t="str">
        <x:v>10.1351/pac199365122613</x:v>
      </x:c>
      <x:c r="N149" s="16" t="str">
        <x:v>data_source/lobo_1993.pdf</x:v>
      </x:c>
      <x:c r="O149" s="22" t="str">
        <x:v>Lobo 1993 Table 1, PDF pp.13–14; bibliography ref.87, PDF p.27</x:v>
      </x:c>
      <x:c r="P149" s="22" t="str">
        <x:v>compilation_table_verified_original_paper_not_archived</x:v>
      </x:c>
      <x:c r="Q149" s="22" t="str">
        <x:v>conditional_exploratory_pending_original_paper_audit</x:v>
      </x:c>
      <x:c r="R149" s="16" t="str">
        <x:v>retrospective_grouped_cv_pool</x:v>
      </x:c>
      <x:c r="S149" s="16" t="str">
        <x:v>COND:323.15K:3.66560000M</x:v>
      </x:c>
      <x:c r="T149" s="20" t="n">
        <x:v>1</x:v>
      </x:c>
      <x:c r="U149" s="16" t="str">
        <x:v>unique_state</x:v>
      </x:c>
      <x:c r="V149" s="22" t="str">
        <x:v>Lobo PDF pp.13–14 belong to the same original paper and are merged.</x:v>
      </x:c>
    </x:row>
    <x:row r="150" ht="39.599998474121094" hidden="0" customHeight="1">
      <x:c r="A150" s="16" t="str">
        <x:v>F40416</x:v>
      </x:c>
      <x:c r="B150" s="16" t="str">
        <x:v>LiCl-H2O</x:v>
      </x:c>
      <x:c r="C150" s="17" t="n">
        <x:v>323.15</x:v>
      </x:c>
      <x:c r="D150" s="18" t="n">
        <x:v>4.4953</x:v>
      </x:c>
      <x:c r="E150" s="19" t="n">
        <x:v>2.406</x:v>
      </x:c>
      <x:c r="F150" s="16" t="str">
        <x:v>BIB:LICL:LOBO1993:REF_087</x:v>
      </x:c>
      <x:c r="G150" s="16" t="str">
        <x:v>BIB:LICL:LOBO1993:REF_087</x:v>
      </x:c>
      <x:c r="H150" s="16" t="str">
        <x:v>bibliographic_original_study_via_compilation</x:v>
      </x:c>
      <x:c r="I150" s="16" t="str">
        <x:v>087</x:v>
      </x:c>
      <x:c r="J150" s="22" t="str">
        <x:v>V. Vitagliano, Gazz. Chim. Ital. 90, 876 (1960)</x:v>
      </x:c>
      <x:c r="K150" s="22"/>
      <x:c r="L150" s="22" t="str">
        <x:v>lobo_1993 | V. M. M. Lobo (1993) | Pure and Applied Chemistry Table 1, ref. 87, PDF p. 14; directly tabulated value</x:v>
      </x:c>
      <x:c r="M150" s="16" t="str">
        <x:v>10.1351/pac199365122613</x:v>
      </x:c>
      <x:c r="N150" s="16" t="str">
        <x:v>data_source/lobo_1993.pdf</x:v>
      </x:c>
      <x:c r="O150" s="22" t="str">
        <x:v>Lobo 1993 Table 1, PDF pp.13–14; bibliography ref.87, PDF p.27</x:v>
      </x:c>
      <x:c r="P150" s="22" t="str">
        <x:v>compilation_table_verified_original_paper_not_archived</x:v>
      </x:c>
      <x:c r="Q150" s="22" t="str">
        <x:v>conditional_exploratory_pending_original_paper_audit</x:v>
      </x:c>
      <x:c r="R150" s="16" t="str">
        <x:v>retrospective_grouped_cv_pool</x:v>
      </x:c>
      <x:c r="S150" s="16" t="str">
        <x:v>COND:323.15K:4.49530000M</x:v>
      </x:c>
      <x:c r="T150" s="20" t="n">
        <x:v>1</x:v>
      </x:c>
      <x:c r="U150" s="16" t="str">
        <x:v>unique_state</x:v>
      </x:c>
      <x:c r="V150" s="22" t="str">
        <x:v>Lobo PDF pp.13–14 belong to the same original paper and are merged.</x:v>
      </x:c>
    </x:row>
    <x:row r="151" ht="39.599998474121094" hidden="0" customHeight="1">
      <x:c r="A151" s="16" t="str">
        <x:v>F40417</x:v>
      </x:c>
      <x:c r="B151" s="16" t="str">
        <x:v>LiCl-H2O</x:v>
      </x:c>
      <x:c r="C151" s="17" t="n">
        <x:v>323.15</x:v>
      </x:c>
      <x:c r="D151" s="18" t="n">
        <x:v>4.496</x:v>
      </x:c>
      <x:c r="E151" s="19" t="n">
        <x:v>2.406</x:v>
      </x:c>
      <x:c r="F151" s="16" t="str">
        <x:v>BIB:LICL:LOBO1993:REF_087</x:v>
      </x:c>
      <x:c r="G151" s="16" t="str">
        <x:v>BIB:LICL:LOBO1993:REF_087</x:v>
      </x:c>
      <x:c r="H151" s="16" t="str">
        <x:v>bibliographic_original_study_via_compilation</x:v>
      </x:c>
      <x:c r="I151" s="16" t="str">
        <x:v>087</x:v>
      </x:c>
      <x:c r="J151" s="22" t="str">
        <x:v>V. Vitagliano, Gazz. Chim. Ital. 90, 876 (1960)</x:v>
      </x:c>
      <x:c r="K151" s="22"/>
      <x:c r="L151" s="22" t="str">
        <x:v>lobo_1993 | V. M. M. Lobo (1993) | Pure and Applied Chemistry Table 1, ref. 87, PDF p. 14; directly tabulated value</x:v>
      </x:c>
      <x:c r="M151" s="16" t="str">
        <x:v>10.1351/pac199365122613</x:v>
      </x:c>
      <x:c r="N151" s="16" t="str">
        <x:v>data_source/lobo_1993.pdf</x:v>
      </x:c>
      <x:c r="O151" s="22" t="str">
        <x:v>Lobo 1993 Table 1, PDF pp.13–14; bibliography ref.87, PDF p.27</x:v>
      </x:c>
      <x:c r="P151" s="22" t="str">
        <x:v>compilation_table_verified_original_paper_not_archived</x:v>
      </x:c>
      <x:c r="Q151" s="22" t="str">
        <x:v>conditional_exploratory_pending_original_paper_audit</x:v>
      </x:c>
      <x:c r="R151" s="16" t="str">
        <x:v>retrospective_grouped_cv_pool</x:v>
      </x:c>
      <x:c r="S151" s="16" t="str">
        <x:v>COND:323.15K:4.49600000M</x:v>
      </x:c>
      <x:c r="T151" s="20" t="n">
        <x:v>1</x:v>
      </x:c>
      <x:c r="U151" s="16" t="str">
        <x:v>unique_state</x:v>
      </x:c>
      <x:c r="V151" s="22" t="str">
        <x:v>Lobo PDF pp.13–14 belong to the same original paper and are merged.</x:v>
      </x:c>
    </x:row>
    <x:row r="152" ht="39.599998474121094" hidden="0" customHeight="1">
      <x:c r="A152" s="16" t="str">
        <x:v>F40418</x:v>
      </x:c>
      <x:c r="B152" s="16" t="str">
        <x:v>LiCl-H2O</x:v>
      </x:c>
      <x:c r="C152" s="17" t="n">
        <x:v>323.15</x:v>
      </x:c>
      <x:c r="D152" s="18" t="n">
        <x:v>5.2928</x:v>
      </x:c>
      <x:c r="E152" s="19" t="n">
        <x:v>2.385</x:v>
      </x:c>
      <x:c r="F152" s="16" t="str">
        <x:v>BIB:LICL:LOBO1993:REF_087</x:v>
      </x:c>
      <x:c r="G152" s="16" t="str">
        <x:v>BIB:LICL:LOBO1993:REF_087</x:v>
      </x:c>
      <x:c r="H152" s="16" t="str">
        <x:v>bibliographic_original_study_via_compilation</x:v>
      </x:c>
      <x:c r="I152" s="16" t="str">
        <x:v>087</x:v>
      </x:c>
      <x:c r="J152" s="22" t="str">
        <x:v>V. Vitagliano, Gazz. Chim. Ital. 90, 876 (1960)</x:v>
      </x:c>
      <x:c r="K152" s="22"/>
      <x:c r="L152" s="22" t="str">
        <x:v>lobo_1993 | V. M. M. Lobo (1993) | Pure and Applied Chemistry Table 1, ref. 87, PDF p. 14; directly tabulated value</x:v>
      </x:c>
      <x:c r="M152" s="16" t="str">
        <x:v>10.1351/pac199365122613</x:v>
      </x:c>
      <x:c r="N152" s="16" t="str">
        <x:v>data_source/lobo_1993.pdf</x:v>
      </x:c>
      <x:c r="O152" s="22" t="str">
        <x:v>Lobo 1993 Table 1, PDF pp.13–14; bibliography ref.87, PDF p.27</x:v>
      </x:c>
      <x:c r="P152" s="22" t="str">
        <x:v>compilation_table_verified_original_paper_not_archived</x:v>
      </x:c>
      <x:c r="Q152" s="22" t="str">
        <x:v>conditional_exploratory_pending_original_paper_audit</x:v>
      </x:c>
      <x:c r="R152" s="16" t="str">
        <x:v>retrospective_grouped_cv_pool</x:v>
      </x:c>
      <x:c r="S152" s="16" t="str">
        <x:v>COND:323.15K:5.29280000M</x:v>
      </x:c>
      <x:c r="T152" s="20" t="n">
        <x:v>1</x:v>
      </x:c>
      <x:c r="U152" s="16" t="str">
        <x:v>unique_state</x:v>
      </x:c>
      <x:c r="V152" s="22" t="str">
        <x:v>Lobo PDF pp.13–14 belong to the same original paper and are merged.</x:v>
      </x:c>
    </x:row>
    <x:row r="153" ht="39.599998474121094" hidden="0" customHeight="1">
      <x:c r="A153" s="16" t="str">
        <x:v>F40419</x:v>
      </x:c>
      <x:c r="B153" s="16" t="str">
        <x:v>LiCl-H2O</x:v>
      </x:c>
      <x:c r="C153" s="17" t="n">
        <x:v>323.15</x:v>
      </x:c>
      <x:c r="D153" s="18" t="n">
        <x:v>5.2929</x:v>
      </x:c>
      <x:c r="E153" s="19" t="n">
        <x:v>2.385</x:v>
      </x:c>
      <x:c r="F153" s="16" t="str">
        <x:v>BIB:LICL:LOBO1993:REF_087</x:v>
      </x:c>
      <x:c r="G153" s="16" t="str">
        <x:v>BIB:LICL:LOBO1993:REF_087</x:v>
      </x:c>
      <x:c r="H153" s="16" t="str">
        <x:v>bibliographic_original_study_via_compilation</x:v>
      </x:c>
      <x:c r="I153" s="16" t="str">
        <x:v>087</x:v>
      </x:c>
      <x:c r="J153" s="22" t="str">
        <x:v>V. Vitagliano, Gazz. Chim. Ital. 90, 876 (1960)</x:v>
      </x:c>
      <x:c r="K153" s="22"/>
      <x:c r="L153" s="22" t="str">
        <x:v>lobo_1993 | V. M. M. Lobo (1993) | Pure and Applied Chemistry Table 1, ref. 87, PDF p. 14; directly tabulated value</x:v>
      </x:c>
      <x:c r="M153" s="16" t="str">
        <x:v>10.1351/pac199365122613</x:v>
      </x:c>
      <x:c r="N153" s="16" t="str">
        <x:v>data_source/lobo_1993.pdf</x:v>
      </x:c>
      <x:c r="O153" s="22" t="str">
        <x:v>Lobo 1993 Table 1, PDF pp.13–14; bibliography ref.87, PDF p.27</x:v>
      </x:c>
      <x:c r="P153" s="22" t="str">
        <x:v>compilation_table_verified_original_paper_not_archived</x:v>
      </x:c>
      <x:c r="Q153" s="22" t="str">
        <x:v>conditional_exploratory_pending_original_paper_audit</x:v>
      </x:c>
      <x:c r="R153" s="16" t="str">
        <x:v>retrospective_grouped_cv_pool</x:v>
      </x:c>
      <x:c r="S153" s="16" t="str">
        <x:v>COND:323.15K:5.29290000M</x:v>
      </x:c>
      <x:c r="T153" s="20" t="n">
        <x:v>1</x:v>
      </x:c>
      <x:c r="U153" s="16" t="str">
        <x:v>unique_state</x:v>
      </x:c>
      <x:c r="V153" s="22" t="str">
        <x:v>Lobo PDF pp.13–14 belong to the same original paper and are merged.</x:v>
      </x:c>
    </x:row>
  </x:sheetData>
  <x:conditionalFormatting sqref="A2:V153">
    <x:cfRule type="expression" dxfId="2" priority="1">
      <x:formula>MOD(ROW(),2)=0</x:formula>
    </x:cfRule>
  </x:conditionalFormatting>
  <x:conditionalFormatting sqref="Q2:Q153">
    <x:cfRule type="containsText" dxfId="3" priority="2" operator="containsText" text="exclude"/>
    <x:cfRule type="containsText" dxfId="4" priority="3" operator="containsText" text="conditional"/>
    <x:cfRule type="containsText" dxfId="5" priority="4" operator="containsText" text="eligible"/>
  </x:conditionalFormatting>
  <x:conditionalFormatting sqref="P2:P153">
    <x:cfRule type="containsText" dxfId="6" priority="5" operator="containsText" text="exclude"/>
    <x:cfRule type="containsText" dxfId="7" priority="6" operator="containsText" text="conditional"/>
    <x:cfRule type="containsText" dxfId="8" priority="7" operator="containsText" text="eligible"/>
  </x:conditionalFormatting>
  <x:pageMargins left="0.7" right="0.7" top="0.75" bottom="0.75" header="0.3" footer="0.3"/>
  <x:tableParts count="1">
    <x:tablePart xmlns:r="http://schemas.openxmlformats.org/officeDocument/2006/relationships" r:id="R04cdadf93d8645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42.5" hidden="0" customWidth="1"/>
    <x:col min="12" max="12" width="32.5" hidden="0" customWidth="1"/>
    <x:col min="13" max="13" width="32.5" hidden="0" customWidth="1"/>
    <x:col min="14" max="14" width="42.5" hidden="0" customWidth="1"/>
    <x:col min="15" max="15" width="32.5" hidden="0" customWidth="1"/>
    <x:col min="16" max="16" width="32.5" hidden="0" customWidth="1"/>
    <x:col min="17" max="17" width="32.5" hidden="0" customWidth="1"/>
    <x:col min="18" max="18" width="42.5" hidden="0" customWidth="1"/>
  </x:cols>
  <x:sheetData>
    <x:row r="1" ht="28.5" customHeight="1">
      <x:c r="A1" s="12" t="str">
        <x:v>origin_lineage_id</x:v>
      </x:c>
      <x:c r="B1" s="13" t="str">
        <x:v>lineage_types</x:v>
      </x:c>
      <x:c r="C1" s="13" t="str">
        <x:v>record_provenance_ids</x:v>
      </x:c>
      <x:c r="D1" s="13" t="str">
        <x:v>record_count</x:v>
      </x:c>
      <x:c r="E1" s="13" t="str">
        <x:v>primary_candidate_record_count</x:v>
      </x:c>
      <x:c r="F1" s="13" t="str">
        <x:v>excluded_derived_record_count</x:v>
      </x:c>
      <x:c r="G1" s="13" t="str">
        <x:v>unique_condition_count</x:v>
      </x:c>
      <x:c r="H1" s="13" t="str">
        <x:v>temperature_level_count</x:v>
      </x:c>
      <x:c r="I1" s="13" t="str">
        <x:v>temperature_range_K</x:v>
      </x:c>
      <x:c r="J1" s="13" t="str">
        <x:v>concentration_range_mol_L</x:v>
      </x:c>
      <x:c r="K1" s="13" t="str">
        <x:v>underlying_reference</x:v>
      </x:c>
      <x:c r="L1" s="13" t="str">
        <x:v>recorded_doi_values</x:v>
      </x:c>
      <x:c r="M1" s="13" t="str">
        <x:v>audited_source_files</x:v>
      </x:c>
      <x:c r="N1" s="13" t="str">
        <x:v>source_locators</x:v>
      </x:c>
      <x:c r="O1" s="13" t="str">
        <x:v>verification_levels</x:v>
      </x:c>
      <x:c r="P1" s="13" t="str">
        <x:v>primary_model_statuses</x:v>
      </x:c>
      <x:c r="Q1" s="13" t="str">
        <x:v>proposed_evaluation_role</x:v>
      </x:c>
      <x:c r="R1" s="14" t="str">
        <x:v>lineage_note</x:v>
      </x:c>
    </x:row>
    <x:row r="2" ht="26.399999618530273" hidden="0" customHeight="1">
      <x:c r="A2" s="16" t="str">
        <x:v>BIB:LICL:LOBO1993:REF_087</x:v>
      </x:c>
      <x:c r="B2" s="16" t="str">
        <x:v>bibliographic_original_study_via_compilation</x:v>
      </x:c>
      <x:c r="C2" s="16" t="str">
        <x:v>BIB:LICL:LOBO1993:REF_087</x:v>
      </x:c>
      <x:c r="D2" s="20" t="n">
        <x:v>109</x:v>
      </x:c>
      <x:c r="E2" s="20" t="n">
        <x:v>109</x:v>
      </x:c>
      <x:c r="F2" s="20" t="n">
        <x:v>0</x:v>
      </x:c>
      <x:c r="G2" s="20" t="n">
        <x:v>108</x:v>
      </x:c>
      <x:c r="H2" s="20" t="n">
        <x:v>5</x:v>
      </x:c>
      <x:c r="I2" s="16" t="str">
        <x:v>273.15–323.15</x:v>
      </x:c>
      <x:c r="J2" s="16" t="str">
        <x:v>0.110700–8.110800</x:v>
      </x:c>
      <x:c r="K2" s="22" t="str">
        <x:v>V. Vitagliano, Gazz. Chim. Ital. 90, 876 (1960)</x:v>
      </x:c>
      <x:c r="L2" s="16" t="str">
        <x:v>10.1351/pac199365122613</x:v>
      </x:c>
      <x:c r="M2" s="16" t="str">
        <x:v>data_source/lobo_1993.pdf</x:v>
      </x:c>
      <x:c r="N2" s="22" t="str">
        <x:v>Lobo 1993 Table 1, PDF pp.13–14; bibliography ref.87, PDF p.27</x:v>
      </x:c>
      <x:c r="O2" s="22" t="str">
        <x:v>compilation_table_verified_original_paper_not_archived</x:v>
      </x:c>
      <x:c r="P2" s="22" t="str">
        <x:v>conditional_exploratory_pending_original_paper_audit</x:v>
      </x:c>
      <x:c r="Q2" s="22" t="str">
        <x:v>retrospective_grouped_cv_pool</x:v>
      </x:c>
      <x:c r="R2" s="22" t="str">
        <x:v>Lobo PDF pp.13–14 belong to the same original paper and are merged.</x:v>
      </x:c>
    </x:row>
    <x:row r="3" ht="52.79999923706055" hidden="0" customHeight="1">
      <x:c r="A3" s="16" t="str">
        <x:v>BIB:LICL:LOBO1993:REF_029</x:v>
      </x:c>
      <x:c r="B3" s="16" t="str">
        <x:v>derived_limiting_diffusion_value | bibliographic_original_study_via_compilation</x:v>
      </x:c>
      <x:c r="C3" s="16" t="str">
        <x:v>DER:LICL:HARNED1955:LIMITING_CONDUCTANCE | BIB:LICL:LOBO1993:REF_029</x:v>
      </x:c>
      <x:c r="D3" s="20" t="n">
        <x:v>15</x:v>
      </x:c>
      <x:c r="E3" s="20" t="n">
        <x:v>14</x:v>
      </x:c>
      <x:c r="F3" s="20" t="n">
        <x:v>1</x:v>
      </x:c>
      <x:c r="G3" s="20" t="n">
        <x:v>15</x:v>
      </x:c>
      <x:c r="H3" s="20" t="n">
        <x:v>1</x:v>
      </x:c>
      <x:c r="I3" s="16" t="str">
        <x:v>298.15–298.15</x:v>
      </x:c>
      <x:c r="J3" s="16" t="str">
        <x:v>0.000000–0.011000</x:v>
      </x:c>
      <x:c r="K3" s="22" t="str">
        <x:v>H. S. Harned &amp; C. L. Hildreth Jr., J. Am. Chem. Soc. 73, 650 (1951)</x:v>
      </x:c>
      <x:c r="L3" s="16" t="str">
        <x:v>10.2172/4375031 | 10.1351/pac199365122613</x:v>
      </x:c>
      <x:c r="M3" s="16" t="str">
        <x:v>data_source/harned_1955_osti.pdf | data_source/lobo_1993.pdf</x:v>
      </x:c>
      <x:c r="N3" s="22" t="str">
        <x:v>PDF p.9 / internal p.7, Table I | Lobo 1993 Table 1, PDF p.14; bibliography ref.29, PDF p.25</x:v>
      </x:c>
      <x:c r="O3" s="22" t="str">
        <x:v>local_report_verified_formula_or_smoothed_value | compilation_table_verified_original_paper_not_archived</x:v>
      </x:c>
      <x:c r="P3" s="22" t="str">
        <x:v>exclude_from_primary_model_sensitivity_only | conditional_exploratory_pending_original_paper_audit</x:v>
      </x:c>
      <x:c r="Q3" s="22" t="str">
        <x:v>retrospective_grouped_cv_pool</x:v>
      </x:c>
      <x:c r="R3" s="22" t="str">
        <x:v>c=0 limiting value calculated from limiting conductance; report cites Harned–Hildreth 1951 for LiCl experiments. | Grouped by the original bibliographic reference cited by Lobo.</x:v>
      </x:c>
    </x:row>
    <x:row r="4" ht="26.399999618530273" hidden="0" customHeight="1">
      <x:c r="A4" s="16" t="str">
        <x:v>BIB:LICL:LOBO1993:REF_067</x:v>
      </x:c>
      <x:c r="B4" s="16" t="str">
        <x:v>bibliographic_original_study_via_compilation</x:v>
      </x:c>
      <x:c r="C4" s="16" t="str">
        <x:v>BIB:LICL:LOBO1993:REF_067</x:v>
      </x:c>
      <x:c r="D4" s="20" t="n">
        <x:v>12</x:v>
      </x:c>
      <x:c r="E4" s="20" t="n">
        <x:v>12</x:v>
      </x:c>
      <x:c r="F4" s="20" t="n">
        <x:v>0</x:v>
      </x:c>
      <x:c r="G4" s="20" t="n">
        <x:v>12</x:v>
      </x:c>
      <x:c r="H4" s="20" t="n">
        <x:v>1</x:v>
      </x:c>
      <x:c r="I4" s="16" t="str">
        <x:v>298.15–298.15</x:v>
      </x:c>
      <x:c r="J4" s="16" t="str">
        <x:v>0.000100–3.000000</x:v>
      </x:c>
      <x:c r="K4" s="22" t="str">
        <x:v>D. G. Miller, J. Phys. Chem. 70, 2639 (1966)</x:v>
      </x:c>
      <x:c r="L4" s="16" t="str">
        <x:v>10.1351/pac199365122613</x:v>
      </x:c>
      <x:c r="M4" s="16" t="str">
        <x:v>data_source/lobo_1993.pdf</x:v>
      </x:c>
      <x:c r="N4" s="22" t="str">
        <x:v>Lobo 1993 Table 1, PDF p.14; bibliography ref.67, PDF p.27</x:v>
      </x:c>
      <x:c r="O4" s="22" t="str">
        <x:v>compilation_table_verified_original_paper_not_archived</x:v>
      </x:c>
      <x:c r="P4" s="22" t="str">
        <x:v>conditional_exploratory_pending_original_paper_audit</x:v>
      </x:c>
      <x:c r="Q4" s="22" t="str">
        <x:v>retrospective_grouped_cv_pool</x:v>
      </x:c>
      <x:c r="R4" s="22" t="str">
        <x:v>Grouped by the original bibliographic reference cited by Lobo.</x:v>
      </x:c>
    </x:row>
    <x:row r="5" ht="26.399999618530273" hidden="0" customHeight="1">
      <x:c r="A5" s="16" t="str">
        <x:v>BIB:LICL:LOBO1993:REF_084</x:v>
      </x:c>
      <x:c r="B5" s="16" t="str">
        <x:v>bibliographic_original_study_via_compilation</x:v>
      </x:c>
      <x:c r="C5" s="16" t="str">
        <x:v>BIB:LICL:LOBO1993:REF_084</x:v>
      </x:c>
      <x:c r="D5" s="20" t="n">
        <x:v>12</x:v>
      </x:c>
      <x:c r="E5" s="20" t="n">
        <x:v>12</x:v>
      </x:c>
      <x:c r="F5" s="20" t="n">
        <x:v>0</x:v>
      </x:c>
      <x:c r="G5" s="20" t="n">
        <x:v>12</x:v>
      </x:c>
      <x:c r="H5" s="20" t="n">
        <x:v>1</x:v>
      </x:c>
      <x:c r="I5" s="16" t="str">
        <x:v>298.15–298.15</x:v>
      </x:c>
      <x:c r="J5" s="16" t="str">
        <x:v>0.050000–3.500000</x:v>
      </x:c>
      <x:c r="K5" s="22" t="str">
        <x:v>R. H. Stokes, J. Am. Chem. Soc. 72, 2243 (1950)</x:v>
      </x:c>
      <x:c r="L5" s="16" t="str">
        <x:v>10.1351/pac199365122613</x:v>
      </x:c>
      <x:c r="M5" s="16" t="str">
        <x:v>data_source/lobo_1993.pdf</x:v>
      </x:c>
      <x:c r="N5" s="22" t="str">
        <x:v>Lobo 1993 Table 1, PDF p.14; bibliography ref.84, PDF p.27</x:v>
      </x:c>
      <x:c r="O5" s="22" t="str">
        <x:v>compilation_table_verified_original_paper_not_archived</x:v>
      </x:c>
      <x:c r="P5" s="22" t="str">
        <x:v>conditional_exploratory_pending_original_paper_audit</x:v>
      </x:c>
      <x:c r="Q5" s="22" t="str">
        <x:v>retrospective_grouped_cv_pool</x:v>
      </x:c>
      <x:c r="R5" s="22" t="str">
        <x:v>Grouped by the original bibliographic reference cited by Lobo.</x:v>
      </x:c>
    </x:row>
    <x:row r="6" ht="26.399999618530273" hidden="0" customHeight="1">
      <x:c r="A6" s="16" t="str">
        <x:v>BIB:LICL:LOBO1993:REF_086</x:v>
      </x:c>
      <x:c r="B6" s="16" t="str">
        <x:v>bibliographic_original_study_via_compilation</x:v>
      </x:c>
      <x:c r="C6" s="16" t="str">
        <x:v>BIB:LICL:LOBO1993:REF_086</x:v>
      </x:c>
      <x:c r="D6" s="20" t="n">
        <x:v>3</x:v>
      </x:c>
      <x:c r="E6" s="20" t="n">
        <x:v>3</x:v>
      </x:c>
      <x:c r="F6" s="20" t="n">
        <x:v>0</x:v>
      </x:c>
      <x:c r="G6" s="20" t="n">
        <x:v>3</x:v>
      </x:c>
      <x:c r="H6" s="20" t="n">
        <x:v>1</x:v>
      </x:c>
      <x:c r="I6" s="16" t="str">
        <x:v>298.15–298.15</x:v>
      </x:c>
      <x:c r="J6" s="16" t="str">
        <x:v>0.100000–1.000000</x:v>
      </x:c>
      <x:c r="K6" s="22" t="str">
        <x:v>J. R. Vinograd &amp; J. W. McBain, J. Am. Chem. Soc. 63, 2008 (1941)</x:v>
      </x:c>
      <x:c r="L6" s="16" t="str">
        <x:v>10.1351/pac199365122613</x:v>
      </x:c>
      <x:c r="M6" s="16" t="str">
        <x:v>data_source/lobo_1993.pdf</x:v>
      </x:c>
      <x:c r="N6" s="22" t="str">
        <x:v>Lobo 1993 Table 1, PDF p.14; bibliography ref.86, PDF p.27</x:v>
      </x:c>
      <x:c r="O6" s="22" t="str">
        <x:v>compilation_table_verified_original_paper_not_archived</x:v>
      </x:c>
      <x:c r="P6" s="22" t="str">
        <x:v>conditional_exploratory_pending_original_paper_audit</x:v>
      </x:c>
      <x:c r="Q6" s="22" t="str">
        <x:v>retrospective_grouped_cv_pool</x:v>
      </x:c>
      <x:c r="R6" s="22" t="str">
        <x:v>Grouped by the original bibliographic reference cited by Lobo.</x:v>
      </x:c>
    </x:row>
    <x:row r="7" ht="26.399999618530273" hidden="0" customHeight="1">
      <x:c r="A7" s="16" t="str">
        <x:v>BIB:LICL:LOBO1993:REF_006</x:v>
      </x:c>
      <x:c r="B7" s="16" t="str">
        <x:v>bibliographic_original_study_via_compilation</x:v>
      </x:c>
      <x:c r="C7" s="16" t="str">
        <x:v>BIB:LICL:LOBO1993:REF_006</x:v>
      </x:c>
      <x:c r="D7" s="20" t="n">
        <x:v>1</x:v>
      </x:c>
      <x:c r="E7" s="20" t="n">
        <x:v>1</x:v>
      </x:c>
      <x:c r="F7" s="20" t="n">
        <x:v>0</x:v>
      </x:c>
      <x:c r="G7" s="20" t="n">
        <x:v>1</x:v>
      </x:c>
      <x:c r="H7" s="20" t="n">
        <x:v>1</x:v>
      </x:c>
      <x:c r="I7" s="16" t="str">
        <x:v>298.15–298.15</x:v>
      </x:c>
      <x:c r="J7" s="16" t="str">
        <x:v>4.000000–4.000000</x:v>
      </x:c>
      <x:c r="K7" s="22" t="str">
        <x:v>P. C. Carman, J. Phys. Chem. 73, 1095 (1969)</x:v>
      </x:c>
      <x:c r="L7" s="16" t="str">
        <x:v>10.1351/pac199365122613</x:v>
      </x:c>
      <x:c r="M7" s="16" t="str">
        <x:v>data_source/lobo_1993.pdf</x:v>
      </x:c>
      <x:c r="N7" s="22" t="str">
        <x:v>Lobo 1993 Table 1, PDF p.14; bibliography ref.6, PDF p.25</x:v>
      </x:c>
      <x:c r="O7" s="22" t="str">
        <x:v>compilation_table_verified_original_paper_not_archived</x:v>
      </x:c>
      <x:c r="P7" s="22" t="str">
        <x:v>conditional_exploratory_pending_original_paper_audit</x:v>
      </x:c>
      <x:c r="Q7" s="22" t="str">
        <x:v>retrospective_grouped_cv_pool</x:v>
      </x:c>
      <x:c r="R7" s="22" t="str">
        <x:v>Grouped by the original bibliographic reference cited by Lobo.</x:v>
      </x:c>
    </x:row>
  </x:sheetData>
  <x:conditionalFormatting sqref="A2:R7">
    <x:cfRule type="expression" dxfId="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e7144eab824e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35" hidden="0" customWidth="1"/>
    <x:col min="3" max="3" width="75" hidden="0" customWidth="1"/>
  </x:cols>
  <x:sheetData>
    <x:row r="1" ht="33.599998474121094" hidden="0" customHeight="1">
      <x:c r="A1" s="31" t="str">
        <x:v>LiCl-H2O 分谱系数据（KCl 统一版式）</x:v>
      </x:c>
      <x:c r="B1" s="31"/>
      <x:c r="C1" s="31"/>
    </x:row>
    <x:row r="2" ht="39.599998474121094" hidden="0" customHeight="1">
      <x:c r="A2" s="32" t="str">
        <x:v>说明</x:v>
      </x:c>
      <x:c r="B2" s="32" t="str">
        <x:v>前两张主表与 KCl 的列结构一致；原始审计信息保存在 Audit_Detail 与 Source_Audit。</x:v>
      </x:c>
      <x:c r="C2" s="32"/>
    </x:row>
    <x:row r="3" ht="15" hidden="0" customHeight="1">
      <x:c r="A3" s="32"/>
      <x:c r="B3" s="32"/>
      <x:c r="C3" s="32"/>
    </x:row>
    <x:row r="4" ht="15" hidden="0" customHeight="1">
      <x:c r="A4" s="30" t="str">
        <x:v>指标</x:v>
      </x:c>
      <x:c r="B4" s="30" t="str">
        <x:v>值</x:v>
      </x:c>
      <x:c r="C4" s="30" t="str">
        <x:v>解释</x:v>
      </x:c>
    </x:row>
    <x:row r="5" ht="15" hidden="0" customHeight="1">
      <x:c r="A5" s="32" t="str">
        <x:v>记录数</x:v>
      </x:c>
      <x:c r="B5" s="32" t="n">
        <x:f>COUNTA('Confirmed_Records'!$A$2:$A$153)</x:f>
        <x:v>152</x:v>
      </x:c>
      <x:c r="C5" s="32" t="str">
        <x:v>Confirmed_Records 保留全部记录，未改动 T、c、D 数值。</x:v>
      </x:c>
    </x:row>
    <x:row r="6" ht="15" hidden="0" customHeight="1">
      <x:c r="A6" s="32" t="str">
        <x:v>谱系数</x:v>
      </x:c>
      <x:c r="B6" s="32" t="n">
        <x:f>COUNTA('Lineage_Summary'!$B$2:$B$7)</x:f>
        <x:v>6</x:v>
      </x:c>
      <x:c r="C6" s="32" t="str">
        <x:v>按 model_group_id 计数；同一谱系不得跨训练/测试分区。</x:v>
      </x:c>
    </x:row>
    <x:row r="7" ht="15" hidden="0" customHeight="1">
      <x:c r="A7" s="32" t="str">
        <x:v>明确排除记录</x:v>
      </x:c>
      <x:c r="B7" s="32" t="n">
        <x:f>COUNTIF('Audit_Detail'!$Q$2:$Q$153,"exclude_from_primary_model_sensitivity_only")</x:f>
        <x:v>1</x:v>
      </x:c>
      <x:c r="C7" s="32" t="str">
        <x:v>正式训练前以 Audit_Detail 的排除标记为准。</x:v>
      </x:c>
    </x:row>
    <x:row r="8" ht="15" hidden="0" customHeight="1">
      <x:c r="A8" s="32" t="str">
        <x:v>条件纳入记录</x:v>
      </x:c>
      <x:c r="B8" s="32" t="n">
        <x:f>COUNTIF('Audit_Detail'!$Q$2:$Q$153,"conditional_exploratory_pending_original_paper_audit")</x:f>
        <x:v>151</x:v>
      </x:c>
      <x:c r="C8" s="32" t="str">
        <x:v>条件纳入记录不得被误称为已完成原始论文核验的数据。</x:v>
      </x:c>
    </x:row>
    <x:row r="9" ht="15" hidden="0" customHeight="1">
      <x:c r="A9" s="32" t="str">
        <x:v>外部留出集</x:v>
      </x:c>
      <x:c r="B9" s="32" t="str">
        <x:v>当前不设置</x:v>
      </x:c>
      <x:c r="C9" s="32" t="str">
        <x:v>当前使用按谱系分组的交叉验证；未来新增且未参与选模的数据才适合作真正外部测试。</x:v>
      </x:c>
    </x:row>
    <x:row r="10" ht="15" hidden="0" customHeight="1">
      <x:c r="A10" s="32"/>
      <x:c r="B10" s="32"/>
      <x:c r="C10" s="32"/>
    </x:row>
    <x:row r="11" ht="15" hidden="0" customHeight="1">
      <x:c r="A11" s="30" t="str">
        <x:v>工作表</x:v>
      </x:c>
      <x:c r="B11" s="30" t="str">
        <x:v>用途</x:v>
      </x:c>
      <x:c r="C11" s="30" t="str">
        <x:v>使用提示</x:v>
      </x:c>
    </x:row>
    <x:row r="12" ht="15" hidden="0" customHeight="1">
      <x:c r="A12" s="32" t="str">
        <x:v>Confirmed_Records</x:v>
      </x:c>
      <x:c r="B12" s="32" t="str">
        <x:v>清晰建模视图</x:v>
      </x:c>
      <x:c r="C12" s="32" t="str">
        <x:v>7 列，与 KCl 一致；包含全部记录。</x:v>
      </x:c>
    </x:row>
    <x:row r="13" ht="15" hidden="0" customHeight="1">
      <x:c r="A13" s="32" t="str">
        <x:v>Lineage_Summary</x:v>
      </x:c>
      <x:c r="B13" s="32" t="str">
        <x:v>谱系汇总</x:v>
      </x:c>
      <x:c r="C13" s="32" t="str">
        <x:v>9 列，与 KCl 一致；计数与范围由公式引用 Confirmed_Records。</x:v>
      </x:c>
    </x:row>
    <x:row r="14" ht="15" hidden="0" customHeight="1">
      <x:c r="A14" s="32" t="str">
        <x:v>Audit_Detail</x:v>
      </x:c>
      <x:c r="B14" s="32" t="str">
        <x:v>逐条审计明细</x:v>
      </x:c>
      <x:c r="C14" s="32" t="str">
        <x:v>保留原文件的 record_id、证据等级、纳入状态与防泄漏字段。</x:v>
      </x:c>
    </x:row>
    <x:row r="15" ht="15" hidden="0" customHeight="1">
      <x:c r="A15" s="32" t="str">
        <x:v>Source_Audit</x:v>
      </x:c>
      <x:c r="B15" s="32" t="str">
        <x:v>来源审计</x:v>
      </x:c>
      <x:c r="C15" s="32" t="str">
        <x:v>保留谱系级来源、定位、DOI/PDF 与核验状态。</x:v>
      </x:c>
    </x:row>
  </x:sheetData>
  <x:pageMargins left="0.7" right="0.7" top="0.75" bottom="0.75" header="0.3" footer="0.3"/>
</x:worksheet>
</file>