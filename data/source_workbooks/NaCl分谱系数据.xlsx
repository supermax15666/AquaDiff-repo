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82b26d7e3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rmed_Records" sheetId="1" r:id="Rcf7ef4ce8ee64d43"/>
    <x:sheet xmlns:r="http://schemas.openxmlformats.org/officeDocument/2006/relationships" name="Lineage_Summary" sheetId="2" r:id="Rb27b2ea8b1844325"/>
    <x:sheet xmlns:r="http://schemas.openxmlformats.org/officeDocument/2006/relationships" name="Audit_Detail" sheetId="3" r:id="Re635600fd0154403"/>
    <x:sheet xmlns:r="http://schemas.openxmlformats.org/officeDocument/2006/relationships" name="Source_Audit" sheetId="4" r:id="Re3c8c414e1ee40c2"/>
    <x:sheet xmlns:r="http://schemas.openxmlformats.org/officeDocument/2006/relationships" name="README" sheetId="5" r:id="R7c4d815cbc2d4ef5"/>
  </x:sheets>
</x:workbook>
</file>

<file path=xl/sharedStrings.xml><?xml version="1.0" encoding="utf-8"?>
<x:sst xmlns:x="http://schemas.openxmlformats.org/spreadsheetml/2006/main">
  <x:si>
    <x:t xml:space="preserve">system</x:t>
  </x:si>
  <x:si>
    <x:t xml:space="preserve">temperature_K</x:t>
  </x:si>
  <x:si>
    <x:t xml:space="preserve">concentration_mol_L</x:t>
  </x:si>
  <x:si>
    <x:t xml:space="preserve">diffusion_1e9_m2_s</x:t>
  </x:si>
  <x:si>
    <x:t xml:space="preserve">lobo_ref_no</x:t>
  </x:si>
  <x:si>
    <x:t xml:space="preserve">model_group_id</x:t>
  </x:si>
  <x:si>
    <x:t xml:space="preserve">original_reference</x:t>
  </x:si>
  <x:si>
    <x:t xml:space="preserve">NaCl-H2O</x:t>
  </x:si>
  <x:si>
    <x:t xml:space="preserve">BIB:NACL:LOBO1993:REF_006</x:t>
  </x:si>
  <x:si>
    <x:t xml:space="preserve">P.C. Carman, J. Phys. Chem., 73, 1095 (1969).</x:t>
  </x:si>
  <x:si>
    <x:t xml:space="preserve">BIB:NACL:LOBO1993:REF_007</x:t>
  </x:si>
  <x:si>
    <x:t xml:space="preserve">A.F. Collings, D.C. Hall, R. Mills and L.A. Woolf, J. Phys. E: Sci. Instrum., 4, 425 (1971).</x:t>
  </x:si>
  <x:si>
    <x:t xml:space="preserve">BIB:NACL:LOBO1993:REF_020</x:t>
  </x:si>
  <x:si>
    <x:t xml:space="preserve">E.A. Guggenheim, Trans. Faraday Soc., 50, 1048 (1954).</x:t>
  </x:si>
  <x:si>
    <x:t xml:space="preserve">BIB:NACL:LOBO1993:REF_021</x:t>
  </x:si>
  <x:si>
    <x:t xml:space="preserve">R. Haase and J. Richter, Z. Naturforsch., 22, 1761 (1967).</x:t>
  </x:si>
  <x:si>
    <x:t xml:space="preserve">BIB:NACL:LOBO1993:REF_029</x:t>
  </x:si>
  <x:si>
    <x:t xml:space="preserve">H.S. Harned and C.L. Hildreth Jr., J. Am. Chem. Soc., 73, 650 (1951).</x:t>
  </x:si>
  <x:si>
    <x:t xml:space="preserve">BIB:NACL:LOBO1993:REF_044</x:t>
  </x:si>
  <x:si>
    <x:t xml:space="preserve">G.J. Janz, B.G. Oliver, G.R. Lakshminarayanan and G.E. Mayer, J. Phys. Chem., 74, 1285 (1970).</x:t>
  </x:si>
  <x:si>
    <x:t xml:space="preserve">BIB:NACL:LOBO1993:REF_067</x:t>
  </x:si>
  <x:si>
    <x:t xml:space="preserve">D.G. Miller, J. Phys. Chem., 70, 2639 (1966).</x:t>
  </x:si>
  <x:si>
    <x:t xml:space="preserve">BIB:NACL:LOBO1993:REF_071</x:t>
  </x:si>
  <x:si>
    <x:t xml:space="preserve">R. Mills, J. Phys. Chem., 66, 2716 (1962).</x:t>
  </x:si>
  <x:si>
    <x:t xml:space="preserve">BIB:NACL:LOBO1993:REF_082</x:t>
  </x:si>
  <x:si>
    <x:t xml:space="preserve">P.V. Rysselberghe, J. Am. Chem. Soc., 60, 2326 (1938).</x:t>
  </x:si>
  <x:si>
    <x:t xml:space="preserve">BIB:NACL:LOBO1993:REF_084</x:t>
  </x:si>
  <x:si>
    <x:t xml:space="preserve">R.H. Stokes, J. Am. Chem. Soc., 72, 2243 (1950).</x:t>
  </x:si>
  <x:si>
    <x:t xml:space="preserve">BIB:NACL:LOBO1993:REF_086</x:t>
  </x:si>
  <x:si>
    <x:t xml:space="preserve">J.R. Vinograd and J.W. McBain, J. Am. Chem. Soc., 63, 2008 (1941).</x:t>
  </x:si>
  <x:si>
    <x:t xml:space="preserve">BIB:NACL:LOBO1993:REF_088</x:t>
  </x:si>
  <x:si>
    <x:t xml:space="preserve">V. Vitagliano, Gazz. Chim. Ital., 90, 1847 (1960).</x:t>
  </x:si>
  <x:si>
    <x:t xml:space="preserve">DERIVED:NACL:HARNED_1955:D0</x:t>
  </x:si>
  <x:si>
    <x:t xml:space="preserve">H. S. Harned (1955) | U.S. Atomic Energy Commission / OSTI report | DOI: 10.2172/4375031</x:t>
  </x:si>
  <x:si>
    <x:t xml:space="preserve">EXP:NACL:FELL_HUTCHISON_1971</x:t>
  </x:si>
  <x:si>
    <x:t xml:space="preserve">Fell &amp; Hutchison (1971), Diffusion Coefficients for NaCl-Water System | Table II, PDF p.3, journal p.429; directly tabulated primary-source value | DOI: 10.1021/je60051a005</x:t>
  </x:si>
  <x:si>
    <x:t xml:space="preserve">EXP:NACL:RARD_NACL_CACL2_1979</x:t>
  </x:si>
  <x:si>
    <x:t xml:space="preserve">J. A. Rard et al. (1979) | Journal of Solution Chemistry 8(10), 701-716 | DOI: 10.1007/bf00648776</x:t>
  </x:si>
  <x:si>
    <x:t xml:space="preserve">EXP:NACL:VITAGLIANO_LYONS_1956</x:t>
  </x:si>
  <x:si>
    <x:t xml:space="preserve">Vitagliano &amp; Lyons (1956), Diffusion Coefficients for Aqueous Solutions of Sodium Chloride and Barium Chloride | Table I, PDF p.2, journal p.1550, D x 10^5 column; directly tabulated primary-source value | DOI: 10.1021/ja01589a011</x:t>
  </x:si>
  <x:si>
    <x:t xml:space="preserve">record_count</x:t>
  </x:si>
  <x:si>
    <x:t xml:space="preserve">temperature_min_K</x:t>
  </x:si>
  <x:si>
    <x:t xml:space="preserve">temperature_max_K</x:t>
  </x:si>
  <x:si>
    <x:t xml:space="preserve">concentration_min_mol_L</x:t>
  </x:si>
  <x:si>
    <x:t xml:space="preserve">concentration_max_mol_L</x:t>
  </x:si>
  <x:si>
    <x:t xml:space="preserve">record_id</x:t>
  </x:si>
  <x:si>
    <x:t xml:space="preserve">lineage_type</x:t>
  </x:si>
  <x:si>
    <x:t xml:space="preserve">source_id</x:t>
  </x:si>
  <x:si>
    <x:t xml:space="preserve">source_locator</x:t>
  </x:si>
  <x:si>
    <x:t xml:space="preserve">record_type</x:t>
  </x:si>
  <x:si>
    <x:t xml:space="preserve">inclusion_status</x:t>
  </x:si>
  <x:si>
    <x:t xml:space="preserve">duplicate_cluster_id</x:t>
  </x:si>
  <x:si>
    <x:t xml:space="preserve">NaCl_0001</x:t>
  </x:si>
  <x:si>
    <x:t xml:space="preserve">primary_experimental_table</x:t>
  </x:si>
  <x:si>
    <x:t xml:space="preserve">SRC:NACL:RARD_1979</x:t>
  </x:si>
  <x:si>
    <x:t xml:space="preserve">Table II, PDF p.7 (journal p.707), c-bar and 10^5 Dv columns</x:t>
  </x:si>
  <x:si>
    <x:t xml:space="preserve">direct_experimental</x:t>
  </x:si>
  <x:si>
    <x:t xml:space="preserve">eligible_primary_if_split_safe</x:t>
  </x:si>
  <x:si>
    <x:t xml:space="preserve">NaCl_0002</x:t>
  </x:si>
  <x:si>
    <x:t xml:space="preserve">NaCl_0003</x:t>
  </x:si>
  <x:si>
    <x:t xml:space="preserve">NaCl_0004</x:t>
  </x:si>
  <x:si>
    <x:t xml:space="preserve">NaCl_0005</x:t>
  </x:si>
  <x:si>
    <x:t xml:space="preserve">NaCl_0006</x:t>
  </x:si>
  <x:si>
    <x:t xml:space="preserve">NaCl_0007</x:t>
  </x:si>
  <x:si>
    <x:t xml:space="preserve">NaCl_0008</x:t>
  </x:si>
  <x:si>
    <x:t xml:space="preserve">NaCl_0009</x:t>
  </x:si>
  <x:si>
    <x:t xml:space="preserve">NaCl_0010</x:t>
  </x:si>
  <x:si>
    <x:t xml:space="preserve">NaCl_0011</x:t>
  </x:si>
  <x:si>
    <x:t xml:space="preserve">NaCl_0012</x:t>
  </x:si>
  <x:si>
    <x:t xml:space="preserve">NaCl_0013</x:t>
  </x:si>
  <x:si>
    <x:t xml:space="preserve">NaCl_0014</x:t>
  </x:si>
  <x:si>
    <x:t xml:space="preserve">NaCl_0015</x:t>
  </x:si>
  <x:si>
    <x:t xml:space="preserve">NaCl_0016</x:t>
  </x:si>
  <x:si>
    <x:t xml:space="preserve">NaCl_0017</x:t>
  </x:si>
  <x:si>
    <x:t xml:space="preserve">NaCl_0018</x:t>
  </x:si>
  <x:si>
    <x:t xml:space="preserve">NaCl_0019</x:t>
  </x:si>
  <x:si>
    <x:t xml:space="preserve">NaCl_0020</x:t>
  </x:si>
  <x:si>
    <x:t xml:space="preserve">NaCl_0021</x:t>
  </x:si>
  <x:si>
    <x:t xml:space="preserve">NaCl_0022</x:t>
  </x:si>
  <x:si>
    <x:t xml:space="preserve">NaCl_0023</x:t>
  </x:si>
  <x:si>
    <x:t xml:space="preserve">NaCl_0024</x:t>
  </x:si>
  <x:si>
    <x:t xml:space="preserve">NaCl_0025</x:t>
  </x:si>
  <x:si>
    <x:t xml:space="preserve">NaCl_0026</x:t>
  </x:si>
  <x:si>
    <x:t xml:space="preserve">NaCl_0027</x:t>
  </x:si>
  <x:si>
    <x:t xml:space="preserve">derived_infinite_dilution_value</x:t>
  </x:si>
  <x:si>
    <x:t xml:space="preserve">SRC:NACL:HARNED_1955_OSTI</x:t>
  </x:si>
  <x:si>
    <x:t xml:space="preserve">Table I, report p.7 (PDF p.9), D0 x 10^5; explicitly listed as data used in calculations</x:t>
  </x:si>
  <x:si>
    <x:t xml:space="preserve">derived_infinite_dilution</x:t>
  </x:si>
  <x:si>
    <x:t xml:space="preserve">exclude_from_experimental_train_test</x:t>
  </x:si>
  <x:si>
    <x:t xml:space="preserve">NaCl_0028</x:t>
  </x:si>
  <x:si>
    <x:t xml:space="preserve">SRC:NACL:FELL_HUTCHISON_1971</x:t>
  </x:si>
  <x:si>
    <x:t xml:space="preserve">Table II, PDF p.3 (journal p.429)</x:t>
  </x:si>
  <x:si>
    <x:t xml:space="preserve">NaCl_0029</x:t>
  </x:si>
  <x:si>
    <x:t xml:space="preserve">NaCl_0030</x:t>
  </x:si>
  <x:si>
    <x:t xml:space="preserve">NaCl_0031</x:t>
  </x:si>
  <x:si>
    <x:t xml:space="preserve">NaCl_0032</x:t>
  </x:si>
  <x:si>
    <x:t xml:space="preserve">NaCl_0033</x:t>
  </x:si>
  <x:si>
    <x:t xml:space="preserve">NaCl_0034</x:t>
  </x:si>
  <x:si>
    <x:t xml:space="preserve">NaCl_0035</x:t>
  </x:si>
  <x:si>
    <x:t xml:space="preserve">NaCl_0036</x:t>
  </x:si>
  <x:si>
    <x:t xml:space="preserve">NaCl_0037</x:t>
  </x:si>
  <x:si>
    <x:t xml:space="preserve">NaCl_0038</x:t>
  </x:si>
  <x:si>
    <x:t xml:space="preserve">NaCl_0039</x:t>
  </x:si>
  <x:si>
    <x:t xml:space="preserve">NaCl_0040</x:t>
  </x:si>
  <x:si>
    <x:t xml:space="preserve">NaCl_0041</x:t>
  </x:si>
  <x:si>
    <x:t xml:space="preserve">NaCl_0042</x:t>
  </x:si>
  <x:si>
    <x:t xml:space="preserve">NaCl_0043</x:t>
  </x:si>
  <x:si>
    <x:t xml:space="preserve">NaCl_0044</x:t>
  </x:si>
  <x:si>
    <x:t xml:space="preserve">NaCl_0045</x:t>
  </x:si>
  <x:si>
    <x:t xml:space="preserve">NaCl_0046</x:t>
  </x:si>
  <x:si>
    <x:t xml:space="preserve">NaCl_0047</x:t>
  </x:si>
  <x:si>
    <x:t xml:space="preserve">NaCl_0048</x:t>
  </x:si>
  <x:si>
    <x:t xml:space="preserve">NaCl_0049</x:t>
  </x:si>
  <x:si>
    <x:t xml:space="preserve">NaCl_0050</x:t>
  </x:si>
  <x:si>
    <x:t xml:space="preserve">SRC:NACL:VITAGLIANO_LYONS_1956</x:t>
  </x:si>
  <x:si>
    <x:t xml:space="preserve">Table I, PDF p.2 (journal p.1550), D x 10^5 column</x:t>
  </x:si>
  <x:si>
    <x:t xml:space="preserve">NaCl_0051</x:t>
  </x:si>
  <x:si>
    <x:t xml:space="preserve">NaCl_0052</x:t>
  </x:si>
  <x:si>
    <x:t xml:space="preserve">NaCl_0053</x:t>
  </x:si>
  <x:si>
    <x:t xml:space="preserve">NaCl_0054</x:t>
  </x:si>
  <x:si>
    <x:t xml:space="preserve">NaCl_0055</x:t>
  </x:si>
  <x:si>
    <x:t xml:space="preserve">NaCl_0056</x:t>
  </x:si>
  <x:si>
    <x:t xml:space="preserve">NaCl_0057</x:t>
  </x:si>
  <x:si>
    <x:t xml:space="preserve">NaCl_0058</x:t>
  </x:si>
  <x:si>
    <x:t xml:space="preserve">NaCl_0059</x:t>
  </x:si>
  <x:si>
    <x:t xml:space="preserve">NaCl_0060</x:t>
  </x:si>
  <x:si>
    <x:t xml:space="preserve">NaCl_0061</x:t>
  </x:si>
  <x:si>
    <x:t xml:space="preserve">NaCl_0062</x:t>
  </x:si>
  <x:si>
    <x:t xml:space="preserve">NaCl_0063</x:t>
  </x:si>
  <x:si>
    <x:t xml:space="preserve">NaCl_0064</x:t>
  </x:si>
  <x:si>
    <x:t xml:space="preserve">NaCl_0065</x:t>
  </x:si>
  <x:si>
    <x:t xml:space="preserve">NaCl_0066</x:t>
  </x:si>
  <x:si>
    <x:t xml:space="preserve">DUP_NACL_013</x:t>
  </x:si>
  <x:si>
    <x:t xml:space="preserve">NaCl_0067</x:t>
  </x:si>
  <x:si>
    <x:t xml:space="preserve">DUP_NACL_015</x:t>
  </x:si>
  <x:si>
    <x:t xml:space="preserve">NaCl_0068</x:t>
  </x:si>
  <x:si>
    <x:t xml:space="preserve">NaCl_0069</x:t>
  </x:si>
  <x:si>
    <x:t xml:space="preserve">DUP_NACL_016</x:t>
  </x:si>
  <x:si>
    <x:t xml:space="preserve">NaCl_0070</x:t>
  </x:si>
  <x:si>
    <x:t xml:space="preserve">NaCl_0071</x:t>
  </x:si>
  <x:si>
    <x:t xml:space="preserve">NaCl_0072</x:t>
  </x:si>
  <x:si>
    <x:t xml:space="preserve">NaCl_0073</x:t>
  </x:si>
  <x:si>
    <x:t xml:space="preserve">NaCl_0074</x:t>
  </x:si>
  <x:si>
    <x:t xml:space="preserve">NaCl_0075</x:t>
  </x:si>
  <x:si>
    <x:t xml:space="preserve">NaCl_0076</x:t>
  </x:si>
  <x:si>
    <x:t xml:space="preserve">NaCl_0077</x:t>
  </x:si>
  <x:si>
    <x:t xml:space="preserve">NaCl_0078</x:t>
  </x:si>
  <x:si>
    <x:t xml:space="preserve">NaCl_0079</x:t>
  </x:si>
  <x:si>
    <x:t xml:space="preserve">secondary_compilation_bibliographic_lineage</x:t>
  </x:si>
  <x:si>
    <x:t xml:space="preserve">SRC:NACL:LOBO_1993</x:t>
  </x:si>
  <x:si>
    <x:t xml:space="preserve">Table 1, PDF pp.16-18 (journal pp.2628-2630), NaCl block, reference 88 | underlying_ref=88</x:t>
  </x:si>
  <x:si>
    <x:t xml:space="preserve">compiled_secondary_observation</x:t>
  </x:si>
  <x:si>
    <x:t xml:space="preserve">conditional_nonconfirmatory_only_pending_original_paper_audit</x:t>
  </x:si>
  <x:si>
    <x:t xml:space="preserve">NaCl_0080</x:t>
  </x:si>
  <x:si>
    <x:t xml:space="preserve">NaCl_0081</x:t>
  </x:si>
  <x:si>
    <x:t xml:space="preserve">NaCl_0082</x:t>
  </x:si>
  <x:si>
    <x:t xml:space="preserve">NaCl_0083</x:t>
  </x:si>
  <x:si>
    <x:t xml:space="preserve">NaCl_0084</x:t>
  </x:si>
  <x:si>
    <x:t xml:space="preserve">NaCl_0085</x:t>
  </x:si>
  <x:si>
    <x:t xml:space="preserve">NaCl_0086</x:t>
  </x:si>
  <x:si>
    <x:t xml:space="preserve">NaCl_0087</x:t>
  </x:si>
  <x:si>
    <x:t xml:space="preserve">NaCl_0088</x:t>
  </x:si>
  <x:si>
    <x:t xml:space="preserve">NaCl_0089</x:t>
  </x:si>
  <x:si>
    <x:t xml:space="preserve">NaCl_0090</x:t>
  </x:si>
  <x:si>
    <x:t xml:space="preserve">NaCl_0091</x:t>
  </x:si>
  <x:si>
    <x:t xml:space="preserve">NaCl_0092</x:t>
  </x:si>
  <x:si>
    <x:t xml:space="preserve">NaCl_0093</x:t>
  </x:si>
  <x:si>
    <x:t xml:space="preserve">Table 1, PDF pp.16-18 (journal pp.2628-2630), NaCl block, reference 82 | underlying_ref=82</x:t>
  </x:si>
  <x:si>
    <x:t xml:space="preserve">NaCl_0094</x:t>
  </x:si>
  <x:si>
    <x:t xml:space="preserve">NaCl_0095</x:t>
  </x:si>
  <x:si>
    <x:t xml:space="preserve">NaCl_0096</x:t>
  </x:si>
  <x:si>
    <x:t xml:space="preserve">NaCl_0097</x:t>
  </x:si>
  <x:si>
    <x:t xml:space="preserve">NaCl_0098</x:t>
  </x:si>
  <x:si>
    <x:t xml:space="preserve">NaCl_0099</x:t>
  </x:si>
  <x:si>
    <x:t xml:space="preserve">NaCl_0100</x:t>
  </x:si>
  <x:si>
    <x:t xml:space="preserve">NaCl_0101</x:t>
  </x:si>
  <x:si>
    <x:t xml:space="preserve">NaCl_0102</x:t>
  </x:si>
  <x:si>
    <x:t xml:space="preserve">NaCl_0103</x:t>
  </x:si>
  <x:si>
    <x:t xml:space="preserve">NaCl_0104</x:t>
  </x:si>
  <x:si>
    <x:t xml:space="preserve">NaCl_0105</x:t>
  </x:si>
  <x:si>
    <x:t xml:space="preserve">NaCl_0106</x:t>
  </x:si>
  <x:si>
    <x:t xml:space="preserve">NaCl_0107</x:t>
  </x:si>
  <x:si>
    <x:t xml:space="preserve">NaCl_0108</x:t>
  </x:si>
  <x:si>
    <x:t xml:space="preserve">NaCl_0109</x:t>
  </x:si>
  <x:si>
    <x:t xml:space="preserve">NaCl_0110</x:t>
  </x:si>
  <x:si>
    <x:t xml:space="preserve">NaCl_0111</x:t>
  </x:si>
  <x:si>
    <x:t xml:space="preserve">NaCl_0112</x:t>
  </x:si>
  <x:si>
    <x:t xml:space="preserve">NaCl_0113</x:t>
  </x:si>
  <x:si>
    <x:t xml:space="preserve">NaCl_0114</x:t>
  </x:si>
  <x:si>
    <x:t xml:space="preserve">NaCl_0115</x:t>
  </x:si>
  <x:si>
    <x:t xml:space="preserve">NaCl_0116</x:t>
  </x:si>
  <x:si>
    <x:t xml:space="preserve">NaCl_0117</x:t>
  </x:si>
  <x:si>
    <x:t xml:space="preserve">NaCl_0118</x:t>
  </x:si>
  <x:si>
    <x:t xml:space="preserve">NaCl_0119</x:t>
  </x:si>
  <x:si>
    <x:t xml:space="preserve">NaCl_0120</x:t>
  </x:si>
  <x:si>
    <x:t xml:space="preserve">NaCl_0121</x:t>
  </x:si>
  <x:si>
    <x:t xml:space="preserve">NaCl_0122</x:t>
  </x:si>
  <x:si>
    <x:t xml:space="preserve">NaCl_0123</x:t>
  </x:si>
  <x:si>
    <x:t xml:space="preserve">NaCl_0124</x:t>
  </x:si>
  <x:si>
    <x:t xml:space="preserve">NaCl_0125</x:t>
  </x:si>
  <x:si>
    <x:t xml:space="preserve">NaCl_0126</x:t>
  </x:si>
  <x:si>
    <x:t xml:space="preserve">NaCl_0127</x:t>
  </x:si>
  <x:si>
    <x:t xml:space="preserve">NaCl_0128</x:t>
  </x:si>
  <x:si>
    <x:t xml:space="preserve">Table 1, PDF pp.16-18 (journal pp.2628-2630), NaCl block, reference 86 | underlying_ref=86</x:t>
  </x:si>
  <x:si>
    <x:t xml:space="preserve">NaCl_0129</x:t>
  </x:si>
  <x:si>
    <x:t xml:space="preserve">NaCl_0130</x:t>
  </x:si>
  <x:si>
    <x:t xml:space="preserve">NaCl_0131</x:t>
  </x:si>
  <x:si>
    <x:t xml:space="preserve">Table 1, PDF pp.16-18 (journal pp.2628-2630), NaCl block, reference 84 | underlying_ref=84</x:t>
  </x:si>
  <x:si>
    <x:t xml:space="preserve">NaCl_0132</x:t>
  </x:si>
  <x:si>
    <x:t xml:space="preserve">DUP_NACL_002</x:t>
  </x:si>
  <x:si>
    <x:t xml:space="preserve">NaCl_0133</x:t>
  </x:si>
  <x:si>
    <x:t xml:space="preserve">NaCl_0134</x:t>
  </x:si>
  <x:si>
    <x:t xml:space="preserve">NaCl_0135</x:t>
  </x:si>
  <x:si>
    <x:t xml:space="preserve">DUP_NACL_003</x:t>
  </x:si>
  <x:si>
    <x:t xml:space="preserve">NaCl_0136</x:t>
  </x:si>
  <x:si>
    <x:t xml:space="preserve">DUP_NACL_004</x:t>
  </x:si>
  <x:si>
    <x:t xml:space="preserve">NaCl_0137</x:t>
  </x:si>
  <x:si>
    <x:t xml:space="preserve">DUP_NACL_005</x:t>
  </x:si>
  <x:si>
    <x:t xml:space="preserve">NaCl_0138</x:t>
  </x:si>
  <x:si>
    <x:t xml:space="preserve">NaCl_0139</x:t>
  </x:si>
  <x:si>
    <x:t xml:space="preserve">DUP_NACL_008</x:t>
  </x:si>
  <x:si>
    <x:t xml:space="preserve">NaCl_0140</x:t>
  </x:si>
  <x:si>
    <x:t xml:space="preserve">NaCl_0141</x:t>
  </x:si>
  <x:si>
    <x:t xml:space="preserve">DUP_NACL_011</x:t>
  </x:si>
  <x:si>
    <x:t xml:space="preserve">NaCl_0142</x:t>
  </x:si>
  <x:si>
    <x:t xml:space="preserve">NaCl_0143</x:t>
  </x:si>
  <x:si>
    <x:t xml:space="preserve">DUP_NACL_014</x:t>
  </x:si>
  <x:si>
    <x:t xml:space="preserve">NaCl_0144</x:t>
  </x:si>
  <x:si>
    <x:t xml:space="preserve">Table 1, PDF pp.16-18 (journal pp.2628-2630), NaCl block, reference 29 | underlying_ref=29</x:t>
  </x:si>
  <x:si>
    <x:t xml:space="preserve">NaCl_0145</x:t>
  </x:si>
  <x:si>
    <x:t xml:space="preserve">NaCl_0146</x:t>
  </x:si>
  <x:si>
    <x:t xml:space="preserve">NaCl_0147</x:t>
  </x:si>
  <x:si>
    <x:t xml:space="preserve">NaCl_0148</x:t>
  </x:si>
  <x:si>
    <x:t xml:space="preserve">NaCl_0149</x:t>
  </x:si>
  <x:si>
    <x:t xml:space="preserve">NaCl_0150</x:t>
  </x:si>
  <x:si>
    <x:t xml:space="preserve">NaCl_0151</x:t>
  </x:si>
  <x:si>
    <x:t xml:space="preserve">NaCl_0152</x:t>
  </x:si>
  <x:si>
    <x:t xml:space="preserve">NaCl_0153</x:t>
  </x:si>
  <x:si>
    <x:t xml:space="preserve">DUP_NACL_001</x:t>
  </x:si>
  <x:si>
    <x:t xml:space="preserve">NaCl_0154</x:t>
  </x:si>
  <x:si>
    <x:t xml:space="preserve">NaCl_0155</x:t>
  </x:si>
  <x:si>
    <x:t xml:space="preserve">Table 1, PDF pp.16-18 (journal pp.2628-2630), NaCl block, reference 20 | underlying_ref=20</x:t>
  </x:si>
  <x:si>
    <x:t xml:space="preserve">NaCl_0156</x:t>
  </x:si>
  <x:si>
    <x:t xml:space="preserve">NaCl_0157</x:t>
  </x:si>
  <x:si>
    <x:t xml:space="preserve">NaCl_0158</x:t>
  </x:si>
  <x:si>
    <x:t xml:space="preserve">NaCl_0159</x:t>
  </x:si>
  <x:si>
    <x:t xml:space="preserve">NaCl_0160</x:t>
  </x:si>
  <x:si>
    <x:t xml:space="preserve">NaCl_0161</x:t>
  </x:si>
  <x:si>
    <x:t xml:space="preserve">NaCl_0162</x:t>
  </x:si>
  <x:si>
    <x:t xml:space="preserve">NaCl_0163</x:t>
  </x:si>
  <x:si>
    <x:t xml:space="preserve">NaCl_0164</x:t>
  </x:si>
  <x:si>
    <x:t xml:space="preserve">NaCl_0165</x:t>
  </x:si>
  <x:si>
    <x:t xml:space="preserve">Table 1, PDF pp.16-18 (journal pp.2628-2630), NaCl block, reference 71 | underlying_ref=71</x:t>
  </x:si>
  <x:si>
    <x:t xml:space="preserve">NaCl_0166</x:t>
  </x:si>
  <x:si>
    <x:t xml:space="preserve">NaCl_0167</x:t>
  </x:si>
  <x:si>
    <x:t xml:space="preserve">NaCl_0168</x:t>
  </x:si>
  <x:si>
    <x:t xml:space="preserve">NaCl_0169</x:t>
  </x:si>
  <x:si>
    <x:t xml:space="preserve">Table 1, PDF pp.16-18 (journal pp.2628-2630), NaCl block, reference 67 | underlying_ref=67</x:t>
  </x:si>
  <x:si>
    <x:t xml:space="preserve">NaCl_0170</x:t>
  </x:si>
  <x:si>
    <x:t xml:space="preserve">NaCl_0171</x:t>
  </x:si>
  <x:si>
    <x:t xml:space="preserve">NaCl_0172</x:t>
  </x:si>
  <x:si>
    <x:t xml:space="preserve">NaCl_0173</x:t>
  </x:si>
  <x:si>
    <x:t xml:space="preserve">NaCl_0174</x:t>
  </x:si>
  <x:si>
    <x:t xml:space="preserve">NaCl_0175</x:t>
  </x:si>
  <x:si>
    <x:t xml:space="preserve">NaCl_0176</x:t>
  </x:si>
  <x:si>
    <x:t xml:space="preserve">NaCl_0177</x:t>
  </x:si>
  <x:si>
    <x:t xml:space="preserve">NaCl_0178</x:t>
  </x:si>
  <x:si>
    <x:t xml:space="preserve">NaCl_0179</x:t>
  </x:si>
  <x:si>
    <x:t xml:space="preserve">DUP_NACL_006</x:t>
  </x:si>
  <x:si>
    <x:t xml:space="preserve">NaCl_0180</x:t>
  </x:si>
  <x:si>
    <x:t xml:space="preserve">DUP_NACL_007</x:t>
  </x:si>
  <x:si>
    <x:t xml:space="preserve">NaCl_0181</x:t>
  </x:si>
  <x:si>
    <x:t xml:space="preserve">DUP_NACL_009</x:t>
  </x:si>
  <x:si>
    <x:t xml:space="preserve">NaCl_0182</x:t>
  </x:si>
  <x:si>
    <x:t xml:space="preserve">DUP_NACL_010</x:t>
  </x:si>
  <x:si>
    <x:t xml:space="preserve">NaCl_0183</x:t>
  </x:si>
  <x:si>
    <x:t xml:space="preserve">DUP_NACL_012</x:t>
  </x:si>
  <x:si>
    <x:t xml:space="preserve">NaCl_0184</x:t>
  </x:si>
  <x:si>
    <x:t xml:space="preserve">Table 1, PDF pp.16-18 (journal pp.2628-2630), NaCl block, reference 21 | underlying_ref=21</x:t>
  </x:si>
  <x:si>
    <x:t xml:space="preserve">NaCl_0185</x:t>
  </x:si>
  <x:si>
    <x:t xml:space="preserve">NaCl_0186</x:t>
  </x:si>
  <x:si>
    <x:t xml:space="preserve">NaCl_0187</x:t>
  </x:si>
  <x:si>
    <x:t xml:space="preserve">NaCl_0188</x:t>
  </x:si>
  <x:si>
    <x:t xml:space="preserve">NaCl_0189</x:t>
  </x:si>
  <x:si>
    <x:t xml:space="preserve">NaCl_0190</x:t>
  </x:si>
  <x:si>
    <x:t xml:space="preserve">NaCl_0191</x:t>
  </x:si>
  <x:si>
    <x:t xml:space="preserve">NaCl_0192</x:t>
  </x:si>
  <x:si>
    <x:t xml:space="preserve">NaCl_0193</x:t>
  </x:si>
  <x:si>
    <x:t xml:space="preserve">NaCl_0194</x:t>
  </x:si>
  <x:si>
    <x:t xml:space="preserve">NaCl_0195</x:t>
  </x:si>
  <x:si>
    <x:t xml:space="preserve">NaCl_0196</x:t>
  </x:si>
  <x:si>
    <x:t xml:space="preserve">NaCl_0197</x:t>
  </x:si>
  <x:si>
    <x:t xml:space="preserve">NaCl_0198</x:t>
  </x:si>
  <x:si>
    <x:t xml:space="preserve">NaCl_0199</x:t>
  </x:si>
  <x:si>
    <x:t xml:space="preserve">NaCl_0200</x:t>
  </x:si>
  <x:si>
    <x:t xml:space="preserve">NaCl_0201</x:t>
  </x:si>
  <x:si>
    <x:t xml:space="preserve">NaCl_0202</x:t>
  </x:si>
  <x:si>
    <x:t xml:space="preserve">NaCl_0203</x:t>
  </x:si>
  <x:si>
    <x:t xml:space="preserve">NaCl_0204</x:t>
  </x:si>
  <x:si>
    <x:t xml:space="preserve">NaCl_0205</x:t>
  </x:si>
  <x:si>
    <x:t xml:space="preserve">NaCl_0206</x:t>
  </x:si>
  <x:si>
    <x:t xml:space="preserve">Table 1, PDF pp.16-18 (journal pp.2628-2630), NaCl block, reference 6 | underlying_ref=6</x:t>
  </x:si>
  <x:si>
    <x:t xml:space="preserve">NaCl_0207</x:t>
  </x:si>
  <x:si>
    <x:t xml:space="preserve">NaCl_0208</x:t>
  </x:si>
  <x:si>
    <x:t xml:space="preserve">NaCl_0209</x:t>
  </x:si>
  <x:si>
    <x:t xml:space="preserve">NaCl_0210</x:t>
  </x:si>
  <x:si>
    <x:t xml:space="preserve">NaCl_0211</x:t>
  </x:si>
  <x:si>
    <x:t xml:space="preserve">NaCl_0212</x:t>
  </x:si>
  <x:si>
    <x:t xml:space="preserve">NaCl_0213</x:t>
  </x:si>
  <x:si>
    <x:t xml:space="preserve">NaCl_0214</x:t>
  </x:si>
  <x:si>
    <x:t xml:space="preserve">Table 1, PDF pp.16-18 (journal pp.2628-2630), NaCl block, reference 44 | underlying_ref=44</x:t>
  </x:si>
  <x:si>
    <x:t xml:space="preserve">NaCl_0215</x:t>
  </x:si>
  <x:si>
    <x:t xml:space="preserve">NaCl_0216</x:t>
  </x:si>
  <x:si>
    <x:t xml:space="preserve">NaCl_0217</x:t>
  </x:si>
  <x:si>
    <x:t xml:space="preserve">NaCl_0218</x:t>
  </x:si>
  <x:si>
    <x:t xml:space="preserve">NaCl_0219</x:t>
  </x:si>
  <x:si>
    <x:t xml:space="preserve">NaCl_0220</x:t>
  </x:si>
  <x:si>
    <x:t xml:space="preserve">Table 1, PDF pp.16-18 (journal pp.2628-2630), NaCl block, reference 7 | underlying_ref=7</x:t>
  </x:si>
  <x:si>
    <x:t xml:space="preserve">NaCl_0221</x:t>
  </x:si>
  <x:si>
    <x:t xml:space="preserve">NaCl_0222</x:t>
  </x:si>
  <x:si>
    <x:t xml:space="preserve">NaCl_0223</x:t>
  </x:si>
  <x:si>
    <x:t xml:space="preserve">NaCl_0224</x:t>
  </x:si>
  <x:si>
    <x:t xml:space="preserve">NaCl_0225</x:t>
  </x:si>
  <x:si>
    <x:t xml:space="preserve">NaCl_0226</x:t>
  </x:si>
  <x:si>
    <x:t xml:space="preserve">NaCl_0227</x:t>
  </x:si>
  <x:si>
    <x:t xml:space="preserve">NaCl_0228</x:t>
  </x:si>
  <x:si>
    <x:t xml:space="preserve">NaCl_0229</x:t>
  </x:si>
  <x:si>
    <x:t xml:space="preserve">NaCl_0230</x:t>
  </x:si>
  <x:si>
    <x:t xml:space="preserve">NaCl_0231</x:t>
  </x:si>
  <x:si>
    <x:t xml:space="preserve">NaCl_0232</x:t>
  </x:si>
  <x:si>
    <x:t xml:space="preserve">NaCl_0233</x:t>
  </x:si>
  <x:si>
    <x:t xml:space="preserve">NaCl_0234</x:t>
  </x:si>
  <x:si>
    <x:t xml:space="preserve">NaCl_0235</x:t>
  </x:si>
  <x:si>
    <x:t xml:space="preserve">NaCl_0236</x:t>
  </x:si>
  <x:si>
    <x:t xml:space="preserve">NaCl_0237</x:t>
  </x:si>
  <x:si>
    <x:t xml:space="preserve">NaCl_0238</x:t>
  </x:si>
  <x:si>
    <x:t xml:space="preserve">NaCl_0239</x:t>
  </x:si>
  <x:si>
    <x:t xml:space="preserve">NaCl_0240</x:t>
  </x:si>
  <x:si>
    <x:t xml:space="preserve">NaCl_0241</x:t>
  </x:si>
  <x:si>
    <x:t xml:space="preserve">NaCl_0242</x:t>
  </x:si>
  <x:si>
    <x:t xml:space="preserve">NaCl_0243</x:t>
  </x:si>
  <x:si>
    <x:t xml:space="preserve">NaCl_0244</x:t>
  </x:si>
  <x:si>
    <x:t xml:space="preserve">NaCl_0245</x:t>
  </x:si>
  <x:si>
    <x:t xml:space="preserve">NaCl_0246</x:t>
  </x:si>
  <x:si>
    <x:t xml:space="preserve">NaCl_0247</x:t>
  </x:si>
  <x:si>
    <x:t xml:space="preserve">NaCl_0248</x:t>
  </x:si>
  <x:si>
    <x:t xml:space="preserve">NaCl_0249</x:t>
  </x:si>
  <x:si>
    <x:t xml:space="preserve">NaCl_0250</x:t>
  </x:si>
  <x:si>
    <x:t xml:space="preserve">NaCl_0251</x:t>
  </x:si>
  <x:si>
    <x:t xml:space="preserve">NaCl_0252</x:t>
  </x:si>
  <x:si>
    <x:t xml:space="preserve">NaCl_0253</x:t>
  </x:si>
  <x:si>
    <x:t xml:space="preserve">NaCl_0254</x:t>
  </x:si>
  <x:si>
    <x:t xml:space="preserve">NaCl_0255</x:t>
  </x:si>
  <x:si>
    <x:t xml:space="preserve">NaCl_0256</x:t>
  </x:si>
  <x:si>
    <x:t xml:space="preserve">source_file</x:t>
  </x:si>
  <x:si>
    <x:t xml:space="preserve">source_sha256</x:t>
  </x:si>
  <x:si>
    <x:t xml:space="preserve">source_doi</x:t>
  </x:si>
  <x:si>
    <x:t xml:space="preserve">verification_status</x:t>
  </x:si>
  <x:si>
    <x:t xml:space="preserve">use_rule</x:t>
  </x:si>
  <x:si>
    <x:t xml:space="preserve">data_source/lobo_1993.pdf</x:t>
  </x:si>
  <x:si>
    <x:t xml:space="preserve">31b30bbb276666b4b5eb9ab8a96e3410b62de1867bb12552877b473f4546329f</x:t>
  </x:si>
  <x:si>
    <x:t xml:space="preserve">10.1351/pac199365122613</x:t>
  </x:si>
  <x:si>
    <x:t xml:space="preserve">underlying_original_paper_not_independently_audited</x:t>
  </x:si>
  <x:si>
    <x:t xml:space="preserve">data_source/harned_1955_osti.pdf</x:t>
  </x:si>
  <x:si>
    <x:t xml:space="preserve">f2518a89f0f0296eb6da0dd48e4b9db1a3c7a925b3d94ce199b5512a79321250</x:t>
  </x:si>
  <x:si>
    <x:t xml:space="preserve">10.2172/4375031</x:t>
  </x:si>
  <x:si>
    <x:t xml:space="preserve">primary_source_verified_as_derived_value</x:t>
  </x:si>
  <x:si>
    <x:t xml:space="preserve">data_source/fell_hutchison_1971.pdf</x:t>
  </x:si>
  <x:si>
    <x:t xml:space="preserve">a2a6ec818a4c89416fe587c703e9c169658d00399b16bb9423d991dc34893c9f</x:t>
  </x:si>
  <x:si>
    <x:t xml:space="preserve">10.1021/je60051a005</x:t>
  </x:si>
  <x:si>
    <x:t xml:space="preserve">primary_source_verified</x:t>
  </x:si>
  <x:si>
    <x:t xml:space="preserve">data_source/rard_nacl_cacl2_1979.pdf</x:t>
  </x:si>
  <x:si>
    <x:t xml:space="preserve">875fe080c42d894f02b1061de25ddc750f913f8a9e8d5e75d907bda7c9561a24</x:t>
  </x:si>
  <x:si>
    <x:t xml:space="preserve">10.1007/bf00648776</x:t>
  </x:si>
  <x:si>
    <x:t xml:space="preserve">data_source/vitagliano_lyons_1956.pdf</x:t>
  </x:si>
  <x:si>
    <x:t xml:space="preserve">26da03fa009f5832012eb01779d774d95c494161e3b8334e5995a6604c20ccc4</x:t>
  </x:si>
  <x:si>
    <x:t xml:space="preserve">10.1021/ja01589a011</x:t>
  </x:si>
  <x:si>
    <x:t xml:space="preserve">NaCl-H2O 分谱系数据（KCl 统一版式）</x:t>
  </x:si>
  <x:si>
    <x:t xml:space="preserve">说明</x:t>
  </x:si>
  <x:si>
    <x:t xml:space="preserve">前两张主表与 KCl 的列结构一致；原始审计信息保存在 Audit_Detail 与 Source_Audit。</x:t>
  </x:si>
  <x:si>
    <x:t xml:space="preserve">指标</x:t>
  </x:si>
  <x:si>
    <x:t xml:space="preserve">值</x:t>
  </x:si>
  <x:si>
    <x:t xml:space="preserve">解释</x:t>
  </x:si>
  <x:si>
    <x:t xml:space="preserve">记录数</x:t>
  </x:si>
  <x:si>
    <x:t xml:space="preserve">Confirmed_Records 保留全部记录，未改动 T、c、D 数值。</x:t>
  </x:si>
  <x:si>
    <x:t xml:space="preserve">谱系数</x:t>
  </x:si>
  <x:si>
    <x:t xml:space="preserve">按 model_group_id 计数；同一谱系不得跨训练/测试分区。</x:t>
  </x:si>
  <x:si>
    <x:t xml:space="preserve">明确排除记录</x:t>
  </x:si>
  <x:si>
    <x:t xml:space="preserve">正式训练前以 Audit_Detail 的排除标记为准。</x:t>
  </x:si>
  <x:si>
    <x:t xml:space="preserve">条件纳入记录</x:t>
  </x:si>
  <x:si>
    <x:t xml:space="preserve">条件纳入记录不得被误称为已完成原始论文核验的数据。</x:t>
  </x:si>
  <x:si>
    <x:t xml:space="preserve">外部留出集</x:t>
  </x:si>
  <x:si>
    <x:t xml:space="preserve">当前不设置</x:t>
  </x:si>
  <x:si>
    <x:t xml:space="preserve">当前使用按谱系分组的交叉验证；未来新增且未参与选模的数据才适合作真正外部测试。</x:t>
  </x:si>
  <x:si>
    <x:t xml:space="preserve">工作表</x:t>
  </x:si>
  <x:si>
    <x:t xml:space="preserve">用途</x:t>
  </x:si>
  <x:si>
    <x:t xml:space="preserve">使用提示</x:t>
  </x:si>
  <x:si>
    <x:t xml:space="preserve">Confirmed_Records</x:t>
  </x:si>
  <x:si>
    <x:t xml:space="preserve">清晰建模视图</x:t>
  </x:si>
  <x:si>
    <x:t xml:space="preserve">7 列，与 KCl 一致；包含全部记录。</x:t>
  </x:si>
  <x:si>
    <x:t xml:space="preserve">Lineage_Summary</x:t>
  </x:si>
  <x:si>
    <x:t xml:space="preserve">谱系汇总</x:t>
  </x:si>
  <x:si>
    <x:t xml:space="preserve">9 列，与 KCl 一致；计数与范围由公式引用 Confirmed_Records。</x:t>
  </x:si>
  <x:si>
    <x:t xml:space="preserve">Audit_Detail</x:t>
  </x:si>
  <x:si>
    <x:t xml:space="preserve">逐条审计明细</x:t>
  </x:si>
  <x:si>
    <x:t xml:space="preserve">保留原文件的 record_id、证据等级、纳入状态与防泄漏字段。</x:t>
  </x:si>
  <x:si>
    <x:t xml:space="preserve">Source_Audit</x:t>
  </x:si>
  <x:si>
    <x:t xml:space="preserve">来源审计</x:t>
  </x:si>
  <x:si>
    <x:t xml:space="preserve">保留谱系级来源、定位、DOI/PDF 与核验状态。</x:t>
  </x:si>
</x:sst>
</file>

<file path=xl/styles.xml><?xml version="1.0" encoding="utf-8"?>
<x:styleSheet xmlns:x="http://schemas.openxmlformats.org/spreadsheetml/2006/main">
  <x:numFmts count="2">
    <x:numFmt numFmtId="176" formatCode="0.000000"/>
    <x:numFmt numFmtId="177" formatCode="0.0000"/>
  </x:numFmts>
  <x:fonts count="7">
    <x:font>
      <x:sz val="11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375623"/>
      </x:patternFill>
    </x:fill>
  </x:fills>
  <x:borders count="4">
    <x:border/>
    <x:border>
      <x:left style="thin">
        <x:color rgb="FFA8B89A"/>
      </x:left>
      <x:top style="thin">
        <x:color rgb="FFA8B89A"/>
      </x:top>
      <x:bottom style="thin">
        <x:color rgb="FFA8B89A"/>
      </x:bottom>
    </x:border>
    <x:border>
      <x:top style="thin">
        <x:color rgb="FFA8B89A"/>
      </x:top>
      <x:bottom style="thin">
        <x:color rgb="FFA8B89A"/>
      </x:bottom>
    </x:border>
    <x:border>
      <x:right style="thin">
        <x:color rgb="FFA8B89A"/>
      </x:right>
      <x:top style="thin">
        <x:color rgb="FFA8B89A"/>
      </x:top>
      <x:bottom style="thin">
        <x:color rgb="FFA8B89A"/>
      </x:bottom>
    </x:border>
  </x:borders>
  <x:cellStyleXfs count="2">
    <x:xf numFmtId="0" fontId="0" fillId="0" borderId="0"/>
    <x:xf numFmtId="0" fontId="5" fillId="0" borderId="0"/>
  </x:cellStyleXfs>
  <x:cellXfs count="13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1" fillId="2" borderId="2" xfId="1" applyFont="1" applyFill="1" applyBorder="1" applyAlignment="1">
      <x:alignment horizontal="center" vertical="center" wrapText="1"/>
    </x:xf>
    <x:xf numFmtId="0" fontId="1" fillId="2" borderId="3" xfId="1" applyFont="1" applyFill="1" applyBorder="1" applyAlignment="1">
      <x:alignment horizontal="center" vertical="center" wrapText="1"/>
    </x:xf>
    <x:xf numFmtId="0" fontId="2" fillId="0" borderId="0" xfId="1" applyFont="1" applyAlignment="1">
      <x:alignment vertical="center"/>
    </x:xf>
    <x:xf numFmtId="2" fontId="2" fillId="0" borderId="0" xfId="1" applyNumberFormat="1" applyFont="1" applyAlignment="1">
      <x:alignment vertical="center"/>
    </x:xf>
    <x:xf numFmtId="176" fontId="2" fillId="0" borderId="0" xfId="1" applyNumberFormat="1" applyFont="1" applyAlignment="1">
      <x:alignment vertical="center"/>
    </x:xf>
    <x:xf numFmtId="177" fontId="2" fillId="0" borderId="0" xfId="1" applyNumberFormat="1" applyFont="1" applyAlignment="1">
      <x:alignment vertical="center"/>
    </x:xf>
    <x:xf numFmtId="1" fontId="2" fillId="0" borderId="0" xfId="1" applyNumberFormat="1" applyFont="1" applyAlignment="1">
      <x:alignment vertical="center"/>
    </x:xf>
    <x:xf numFmtId="0" fontId="2" fillId="0" borderId="0" xfId="1" applyFont="1" applyAlignment="1">
      <x:alignment vertical="top" wrapText="1"/>
    </x:xf>
    <x:xf numFmtId="0" fontId="4" fillId="2" borderId="0" xfId="1" applyFont="1" applyFill="1" applyAlignment="1">
      <x:alignment horizontal="center" vertical="center" wrapText="1"/>
    </x:xf>
    <x:xf numFmtId="0" fontId="3" fillId="3" borderId="0" xfId="1" applyFont="1" applyFill="1" applyAlignment="1">
      <x:alignment vertical="center" wrapText="1"/>
    </x:xf>
    <x:xf numFmtId="0" fontId="0" fillId="0" borderId="0" xfId="1" applyFont="1" applyAlignment="1">
      <x:alignment vertical="center" wrapText="1"/>
    </x:xf>
  </x:cellXfs>
  <x:cellStyles count="2">
    <x:cellStyle name="Normal" xfId="1"/>
    <x:cellStyle name="常规" xfId="0"/>
  </x:cellStyles>
  <x:dxfs count="13">
    <x:dxf>
      <x:fill>
        <x:patternFill>
          <x:bgColor rgb="FFF2F2F2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ill>
        <x:patternFill>
          <x:bgColor rgb="FFF2F2F2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44b76194d43fb" /><Relationship Type="http://schemas.openxmlformats.org/officeDocument/2006/relationships/theme" Target="/xl/theme/theme1.xml" Id="Rc53ca99c1f534df7" /><Relationship Type="http://schemas.openxmlformats.org/officeDocument/2006/relationships/sharedStrings" Target="/xl/sharedStrings.xml" Id="Ra3eca9af2730408b" /><Relationship Type="http://schemas.openxmlformats.org/officeDocument/2006/relationships/worksheet" Target="/xl/worksheets/sheet1.xml" Id="Rcf7ef4ce8ee64d43" /><Relationship Type="http://schemas.openxmlformats.org/officeDocument/2006/relationships/worksheet" Target="/xl/worksheets/sheet2.xml" Id="Rb27b2ea8b1844325" /><Relationship Type="http://schemas.openxmlformats.org/officeDocument/2006/relationships/worksheet" Target="/xl/worksheets/sheet3.xml" Id="Re635600fd0154403" /><Relationship Type="http://schemas.openxmlformats.org/officeDocument/2006/relationships/worksheet" Target="/xl/worksheets/sheet4.xml" Id="Re3c8c414e1ee40c2" /><Relationship Type="http://schemas.openxmlformats.org/officeDocument/2006/relationships/worksheet" Target="/xl/worksheets/sheet5.xml" Id="R7c4d815cbc2d4ef5" /></Relationships>
</file>

<file path=xl/tables/table1.xml><?xml version="1.0" encoding="utf-8"?>
<x:table xmlns:x="http://schemas.openxmlformats.org/spreadsheetml/2006/main" id="1" name="NaClConfirmedRecords" displayName="NaClConfirmedRecords" ref="A1:G257" totalsRowShown="0">
  <x:autoFilter ref="A1:G257"/>
  <x:tableColumns count="7">
    <x:tableColumn id="1" name="system"/>
    <x:tableColumn id="2" name="temperature_K"/>
    <x:tableColumn id="3" name="concentration_mol_L"/>
    <x:tableColumn id="4" name="diffusion_1e9_m2_s"/>
    <x:tableColumn id="5" name="lobo_ref_no"/>
    <x:tableColumn id="6" name="model_group_id"/>
    <x:tableColumn id="7" name="original_referenc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NaClLineageSummary" displayName="NaClLineageSummary" ref="A1:I17" totalsRowShown="0">
  <x:autoFilter ref="A1:I17"/>
  <x:tableColumns count="9">
    <x:tableColumn id="1" name="system"/>
    <x:tableColumn id="2" name="model_group_id"/>
    <x:tableColumn id="3" name="lobo_ref_no"/>
    <x:tableColumn id="4" name="record_count"/>
    <x:tableColumn id="5" name="temperature_min_K"/>
    <x:tableColumn id="6" name="temperature_max_K"/>
    <x:tableColumn id="7" name="concentration_min_mol_L"/>
    <x:tableColumn id="8" name="concentration_max_mol_L"/>
    <x:tableColumn id="9" name="original_referenc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NaClAuditDetail" displayName="NaClAuditDetail" ref="A1:M257" totalsRowShown="0">
  <x:autoFilter ref="A1:M257"/>
  <x:tableColumns count="13">
    <x:tableColumn id="1" name="record_id"/>
    <x:tableColumn id="2" name="system"/>
    <x:tableColumn id="3" name="temperature_K"/>
    <x:tableColumn id="4" name="concentration_mol_L"/>
    <x:tableColumn id="5" name="diffusion_1e9_m2_s"/>
    <x:tableColumn id="6" name="model_group_id"/>
    <x:tableColumn id="7" name="lineage_type"/>
    <x:tableColumn id="8" name="source_id"/>
    <x:tableColumn id="9" name="source_locator"/>
    <x:tableColumn id="10" name="original_reference"/>
    <x:tableColumn id="11" name="record_type"/>
    <x:tableColumn id="12" name="inclusion_status"/>
    <x:tableColumn id="13" name="duplicate_cluster_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NaClSourceAudit" displayName="NaClSourceAudit" ref="A1:K17" totalsRowShown="0">
  <x:autoFilter ref="A1:K17"/>
  <x:tableColumns count="11">
    <x:tableColumn id="1" name="source_id"/>
    <x:tableColumn id="2" name="model_group_id"/>
    <x:tableColumn id="3" name="lineage_type"/>
    <x:tableColumn id="4" name="record_count"/>
    <x:tableColumn id="5" name="source_file"/>
    <x:tableColumn id="6" name="source_sha256"/>
    <x:tableColumn id="7" name="source_doi"/>
    <x:tableColumn id="8" name="source_locator"/>
    <x:tableColumn id="9" name="original_reference"/>
    <x:tableColumn id="10" name="verification_status"/>
    <x:tableColumn id="11" name="use_rul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c41b77dc4045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e924fee72546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73a9be26094d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6ba4d71b67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5" customWidth="1"/>
    <x:col min="2" max="2" width="16.9140625" customWidth="1"/>
    <x:col min="3" max="3" width="21.9140625" customWidth="1"/>
    <x:col min="4" max="4" width="21.25" customWidth="1"/>
    <x:col min="5" max="5" width="13.75" customWidth="1"/>
    <x:col min="6" max="6" width="36.9140625" customWidth="1"/>
    <x:col min="7" max="7" width="65" customWidth="1"/>
  </x:cols>
  <x:sheetData>
    <x:row r="1" ht="28.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</x:row>
    <x:row r="2" ht="15" customHeight="1">
      <x:c r="A2" s="4" t="s">
        <x:v>7</x:v>
      </x:c>
      <x:c r="B2" s="5">
        <x:v>298.14999999999998</x:v>
      </x:c>
      <x:c r="C2" s="6">
        <x:v>0.5</x:v>
      </x:c>
      <x:c r="D2" s="7">
        <x:v>1.474</x:v>
      </x:c>
      <x:c r="E2" s="8">
        <x:v>6</x:v>
      </x:c>
      <x:c r="F2" s="4" t="s">
        <x:v>8</x:v>
      </x:c>
      <x:c r="G2" s="9" t="s">
        <x:v>9</x:v>
      </x:c>
    </x:row>
    <x:row r="3" ht="15" customHeight="1">
      <x:c r="A3" s="4" t="s">
        <x:v>7</x:v>
      </x:c>
      <x:c r="B3" s="5">
        <x:v>298.14999999999998</x:v>
      </x:c>
      <x:c r="C3" s="6">
        <x:v>1</x:v>
      </x:c>
      <x:c r="D3" s="7">
        <x:v>1.484</x:v>
      </x:c>
      <x:c r="E3" s="8">
        <x:v>6</x:v>
      </x:c>
      <x:c r="F3" s="4" t="s">
        <x:v>8</x:v>
      </x:c>
      <x:c r="G3" s="9" t="s">
        <x:v>9</x:v>
      </x:c>
    </x:row>
    <x:row r="4" ht="15" customHeight="1">
      <x:c r="A4" s="4" t="s">
        <x:v>7</x:v>
      </x:c>
      <x:c r="B4" s="5">
        <x:v>298.14999999999998</x:v>
      </x:c>
      <x:c r="C4" s="6">
        <x:v>1.5</x:v>
      </x:c>
      <x:c r="D4" s="7">
        <x:v>1.5009999999999999</x:v>
      </x:c>
      <x:c r="E4" s="8">
        <x:v>6</x:v>
      </x:c>
      <x:c r="F4" s="4" t="s">
        <x:v>8</x:v>
      </x:c>
      <x:c r="G4" s="9" t="s">
        <x:v>9</x:v>
      </x:c>
    </x:row>
    <x:row r="5" ht="15" customHeight="1">
      <x:c r="A5" s="4" t="s">
        <x:v>7</x:v>
      </x:c>
      <x:c r="B5" s="5">
        <x:v>298.14999999999998</x:v>
      </x:c>
      <x:c r="C5" s="6">
        <x:v>2</x:v>
      </x:c>
      <x:c r="D5" s="7">
        <x:v>1.518</x:v>
      </x:c>
      <x:c r="E5" s="8">
        <x:v>6</x:v>
      </x:c>
      <x:c r="F5" s="4" t="s">
        <x:v>8</x:v>
      </x:c>
      <x:c r="G5" s="9" t="s">
        <x:v>9</x:v>
      </x:c>
    </x:row>
    <x:row r="6" ht="15" customHeight="1">
      <x:c r="A6" s="4" t="s">
        <x:v>7</x:v>
      </x:c>
      <x:c r="B6" s="5">
        <x:v>298.14999999999998</x:v>
      </x:c>
      <x:c r="C6" s="6">
        <x:v>2.5</x:v>
      </x:c>
      <x:c r="D6" s="7">
        <x:v>1.542</x:v>
      </x:c>
      <x:c r="E6" s="8">
        <x:v>6</x:v>
      </x:c>
      <x:c r="F6" s="4" t="s">
        <x:v>8</x:v>
      </x:c>
      <x:c r="G6" s="9" t="s">
        <x:v>9</x:v>
      </x:c>
    </x:row>
    <x:row r="7" ht="15" customHeight="1">
      <x:c r="A7" s="4" t="s">
        <x:v>7</x:v>
      </x:c>
      <x:c r="B7" s="5">
        <x:v>298.14999999999998</x:v>
      </x:c>
      <x:c r="C7" s="6">
        <x:v>3</x:v>
      </x:c>
      <x:c r="D7" s="7">
        <x:v>1.5640000000000001</x:v>
      </x:c>
      <x:c r="E7" s="8">
        <x:v>6</x:v>
      </x:c>
      <x:c r="F7" s="4" t="s">
        <x:v>8</x:v>
      </x:c>
      <x:c r="G7" s="9" t="s">
        <x:v>9</x:v>
      </x:c>
    </x:row>
    <x:row r="8" ht="15" customHeight="1">
      <x:c r="A8" s="4" t="s">
        <x:v>7</x:v>
      </x:c>
      <x:c r="B8" s="5">
        <x:v>298.14999999999998</x:v>
      </x:c>
      <x:c r="C8" s="6">
        <x:v>4</x:v>
      </x:c>
      <x:c r="D8" s="7">
        <x:v>1.5940000000000001</x:v>
      </x:c>
      <x:c r="E8" s="8">
        <x:v>6</x:v>
      </x:c>
      <x:c r="F8" s="4" t="s">
        <x:v>8</x:v>
      </x:c>
      <x:c r="G8" s="9" t="s">
        <x:v>9</x:v>
      </x:c>
    </x:row>
    <x:row r="9" ht="15" customHeight="1">
      <x:c r="A9" s="4" t="s">
        <x:v>7</x:v>
      </x:c>
      <x:c r="B9" s="5">
        <x:v>298.14999999999998</x:v>
      </x:c>
      <x:c r="C9" s="6">
        <x:v>5</x:v>
      </x:c>
      <x:c r="D9" s="7">
        <x:v>1.59</x:v>
      </x:c>
      <x:c r="E9" s="8">
        <x:v>6</x:v>
      </x:c>
      <x:c r="F9" s="4" t="s">
        <x:v>8</x:v>
      </x:c>
      <x:c r="G9" s="9" t="s">
        <x:v>9</x:v>
      </x:c>
    </x:row>
    <x:row r="10" ht="15" customHeight="1">
      <x:c r="A10" s="4" t="s">
        <x:v>7</x:v>
      </x:c>
      <x:c r="B10" s="5">
        <x:v>298.14999999999998</x:v>
      </x:c>
      <x:c r="C10" s="6">
        <x:v>0.39069999999999999</x:v>
      </x:c>
      <x:c r="D10" s="7">
        <x:v>1.486</x:v>
      </x:c>
      <x:c r="E10" s="8">
        <x:v>7</x:v>
      </x:c>
      <x:c r="F10" s="4" t="s">
        <x:v>10</x:v>
      </x:c>
      <x:c r="G10" s="9" t="s">
        <x:v>11</x:v>
      </x:c>
    </x:row>
    <x:row r="11" ht="15" customHeight="1">
      <x:c r="A11" s="4" t="s">
        <x:v>7</x:v>
      </x:c>
      <x:c r="B11" s="5">
        <x:v>298.14999999999998</x:v>
      </x:c>
      <x:c r="C11" s="6">
        <x:v>1.1313</x:v>
      </x:c>
      <x:c r="D11" s="7">
        <x:v>1.47</x:v>
      </x:c>
      <x:c r="E11" s="8">
        <x:v>7</x:v>
      </x:c>
      <x:c r="F11" s="4" t="s">
        <x:v>10</x:v>
      </x:c>
      <x:c r="G11" s="9" t="s">
        <x:v>11</x:v>
      </x:c>
    </x:row>
    <x:row r="12" ht="15" customHeight="1">
      <x:c r="A12" s="4" t="s">
        <x:v>7</x:v>
      </x:c>
      <x:c r="B12" s="5">
        <x:v>298.14999999999998</x:v>
      </x:c>
      <x:c r="C12" s="6">
        <x:v>6.9999999999999999E-4</x:v>
      </x:c>
      <x:c r="D12" s="7">
        <x:v>1.613</x:v>
      </x:c>
      <x:c r="E12" s="8">
        <x:v>20</x:v>
      </x:c>
      <x:c r="F12" s="4" t="s">
        <x:v>12</x:v>
      </x:c>
      <x:c r="G12" s="9" t="s">
        <x:v>13</x:v>
      </x:c>
    </x:row>
    <x:row r="13" ht="15" customHeight="1">
      <x:c r="A13" s="4" t="s">
        <x:v>7</x:v>
      </x:c>
      <x:c r="B13" s="5">
        <x:v>298.14999999999998</x:v>
      </x:c>
      <x:c r="C13" s="6">
        <x:v>1.6000000000000001E-3</x:v>
      </x:c>
      <x:c r="D13" s="7">
        <x:v>1.61</x:v>
      </x:c>
      <x:c r="E13" s="8">
        <x:v>20</x:v>
      </x:c>
      <x:c r="F13" s="4" t="s">
        <x:v>12</x:v>
      </x:c>
      <x:c r="G13" s="9" t="s">
        <x:v>13</x:v>
      </x:c>
    </x:row>
    <x:row r="14" ht="15" customHeight="1">
      <x:c r="A14" s="4" t="s">
        <x:v>7</x:v>
      </x:c>
      <x:c r="B14" s="5">
        <x:v>298.14999999999998</x:v>
      </x:c>
      <x:c r="C14" s="6">
        <x:v>3.3E-3</x:v>
      </x:c>
      <x:c r="D14" s="7">
        <x:v>1.6220000000000001</x:v>
      </x:c>
      <x:c r="E14" s="8">
        <x:v>20</x:v>
      </x:c>
      <x:c r="F14" s="4" t="s">
        <x:v>12</x:v>
      </x:c>
      <x:c r="G14" s="9" t="s">
        <x:v>13</x:v>
      </x:c>
    </x:row>
    <x:row r="15" ht="15" customHeight="1">
      <x:c r="A15" s="4" t="s">
        <x:v>7</x:v>
      </x:c>
      <x:c r="B15" s="5">
        <x:v>298.14999999999998</x:v>
      </x:c>
      <x:c r="C15" s="6">
        <x:v>4.4999999999999997E-3</x:v>
      </x:c>
      <x:c r="D15" s="7">
        <x:v>1.6140000000000001</x:v>
      </x:c>
      <x:c r="E15" s="8">
        <x:v>20</x:v>
      </x:c>
      <x:c r="F15" s="4" t="s">
        <x:v>12</x:v>
      </x:c>
      <x:c r="G15" s="9" t="s">
        <x:v>13</x:v>
      </x:c>
    </x:row>
    <x:row r="16" ht="15" customHeight="1">
      <x:c r="A16" s="4" t="s">
        <x:v>7</x:v>
      </x:c>
      <x:c r="B16" s="5">
        <x:v>298.14999999999998</x:v>
      </x:c>
      <x:c r="C16" s="6">
        <x:v>5.1999999999999998E-3</x:v>
      </x:c>
      <x:c r="D16" s="7">
        <x:v>1.615</x:v>
      </x:c>
      <x:c r="E16" s="8">
        <x:v>20</x:v>
      </x:c>
      <x:c r="F16" s="4" t="s">
        <x:v>12</x:v>
      </x:c>
      <x:c r="G16" s="9" t="s">
        <x:v>13</x:v>
      </x:c>
    </x:row>
    <x:row r="17" ht="15" customHeight="1">
      <x:c r="A17" s="4" t="s">
        <x:v>7</x:v>
      </x:c>
      <x:c r="B17" s="5">
        <x:v>298.14999999999998</x:v>
      </x:c>
      <x:c r="C17" s="6">
        <x:v>6.4999999999999997E-3</x:v>
      </x:c>
      <x:c r="D17" s="7">
        <x:v>1.6180000000000001</x:v>
      </x:c>
      <x:c r="E17" s="8">
        <x:v>20</x:v>
      </x:c>
      <x:c r="F17" s="4" t="s">
        <x:v>12</x:v>
      </x:c>
      <x:c r="G17" s="9" t="s">
        <x:v>13</x:v>
      </x:c>
    </x:row>
    <x:row r="18" ht="15" customHeight="1">
      <x:c r="A18" s="4" t="s">
        <x:v>7</x:v>
      </x:c>
      <x:c r="B18" s="5">
        <x:v>298.14999999999998</x:v>
      </x:c>
      <x:c r="C18" s="6">
        <x:v>7.7000000000000002E-3</x:v>
      </x:c>
      <x:c r="D18" s="7">
        <x:v>1.62</x:v>
      </x:c>
      <x:c r="E18" s="8">
        <x:v>20</x:v>
      </x:c>
      <x:c r="F18" s="4" t="s">
        <x:v>12</x:v>
      </x:c>
      <x:c r="G18" s="9" t="s">
        <x:v>13</x:v>
      </x:c>
    </x:row>
    <x:row r="19" ht="15" customHeight="1">
      <x:c r="A19" s="4" t="s">
        <x:v>7</x:v>
      </x:c>
      <x:c r="B19" s="5">
        <x:v>298.14999999999998</x:v>
      </x:c>
      <x:c r="C19" s="6">
        <x:v>8.9999999999999993E-3</x:v>
      </x:c>
      <x:c r="D19" s="7">
        <x:v>1.613</x:v>
      </x:c>
      <x:c r="E19" s="8">
        <x:v>20</x:v>
      </x:c>
      <x:c r="F19" s="4" t="s">
        <x:v>12</x:v>
      </x:c>
      <x:c r="G19" s="9" t="s">
        <x:v>13</x:v>
      </x:c>
    </x:row>
    <x:row r="20" ht="15" customHeight="1">
      <x:c r="A20" s="4" t="s">
        <x:v>7</x:v>
      </x:c>
      <x:c r="B20" s="5">
        <x:v>298.14999999999998</x:v>
      </x:c>
      <x:c r="C20" s="6">
        <x:v>9.2999999999999992E-3</x:v>
      </x:c>
      <x:c r="D20" s="7">
        <x:v>1.6140000000000001</x:v>
      </x:c>
      <x:c r="E20" s="8">
        <x:v>20</x:v>
      </x:c>
      <x:c r="F20" s="4" t="s">
        <x:v>12</x:v>
      </x:c>
      <x:c r="G20" s="9" t="s">
        <x:v>13</x:v>
      </x:c>
    </x:row>
    <x:row r="21" ht="15" customHeight="1">
      <x:c r="A21" s="4" t="s">
        <x:v>7</x:v>
      </x:c>
      <x:c r="B21" s="5">
        <x:v>298.14999999999998</x:v>
      </x:c>
      <x:c r="C21" s="6">
        <x:v>0.01</x:v>
      </x:c>
      <x:c r="D21" s="7">
        <x:v>1.619</x:v>
      </x:c>
      <x:c r="E21" s="8">
        <x:v>20</x:v>
      </x:c>
      <x:c r="F21" s="4" t="s">
        <x:v>12</x:v>
      </x:c>
      <x:c r="G21" s="9" t="s">
        <x:v>13</x:v>
      </x:c>
    </x:row>
    <x:row r="22" ht="15" customHeight="1">
      <x:c r="A22" s="4" t="s">
        <x:v>7</x:v>
      </x:c>
      <x:c r="B22" s="5">
        <x:v>298.14999999999998</x:v>
      </x:c>
      <x:c r="C22" s="6">
        <x:v>0.1</x:v>
      </x:c>
      <x:c r="D22" s="7">
        <x:v>1.4830000000000001</x:v>
      </x:c>
      <x:c r="E22" s="8">
        <x:v>21</x:v>
      </x:c>
      <x:c r="F22" s="4" t="s">
        <x:v>14</x:v>
      </x:c>
      <x:c r="G22" s="9" t="s">
        <x:v>15</x:v>
      </x:c>
    </x:row>
    <x:row r="23" ht="15" customHeight="1">
      <x:c r="A23" s="4" t="s">
        <x:v>7</x:v>
      </x:c>
      <x:c r="B23" s="5">
        <x:v>298.14999999999998</x:v>
      </x:c>
      <x:c r="C23" s="6">
        <x:v>0.2</x:v>
      </x:c>
      <x:c r="D23" s="7">
        <x:v>1.4770000000000001</x:v>
      </x:c>
      <x:c r="E23" s="8">
        <x:v>21</x:v>
      </x:c>
      <x:c r="F23" s="4" t="s">
        <x:v>14</x:v>
      </x:c>
      <x:c r="G23" s="9" t="s">
        <x:v>15</x:v>
      </x:c>
    </x:row>
    <x:row r="24" ht="15" customHeight="1">
      <x:c r="A24" s="4" t="s">
        <x:v>7</x:v>
      </x:c>
      <x:c r="B24" s="5">
        <x:v>298.14999999999998</x:v>
      </x:c>
      <x:c r="C24" s="6">
        <x:v>0.3</x:v>
      </x:c>
      <x:c r="D24" s="7">
        <x:v>1.4750000000000001</x:v>
      </x:c>
      <x:c r="E24" s="8">
        <x:v>21</x:v>
      </x:c>
      <x:c r="F24" s="4" t="s">
        <x:v>14</x:v>
      </x:c>
      <x:c r="G24" s="9" t="s">
        <x:v>15</x:v>
      </x:c>
    </x:row>
    <x:row r="25" ht="15" customHeight="1">
      <x:c r="A25" s="4" t="s">
        <x:v>7</x:v>
      </x:c>
      <x:c r="B25" s="5">
        <x:v>298.14999999999998</x:v>
      </x:c>
      <x:c r="C25" s="6">
        <x:v>0.4</x:v>
      </x:c>
      <x:c r="D25" s="7">
        <x:v>1.474</x:v>
      </x:c>
      <x:c r="E25" s="8">
        <x:v>21</x:v>
      </x:c>
      <x:c r="F25" s="4" t="s">
        <x:v>14</x:v>
      </x:c>
      <x:c r="G25" s="9" t="s">
        <x:v>15</x:v>
      </x:c>
    </x:row>
    <x:row r="26" ht="15" customHeight="1">
      <x:c r="A26" s="4" t="s">
        <x:v>7</x:v>
      </x:c>
      <x:c r="B26" s="5">
        <x:v>298.14999999999998</x:v>
      </x:c>
      <x:c r="C26" s="6">
        <x:v>0.5</x:v>
      </x:c>
      <x:c r="D26" s="7">
        <x:v>1.4730000000000001</x:v>
      </x:c>
      <x:c r="E26" s="8">
        <x:v>21</x:v>
      </x:c>
      <x:c r="F26" s="4" t="s">
        <x:v>14</x:v>
      </x:c>
      <x:c r="G26" s="9" t="s">
        <x:v>15</x:v>
      </x:c>
    </x:row>
    <x:row r="27" ht="15" customHeight="1">
      <x:c r="A27" s="4" t="s">
        <x:v>7</x:v>
      </x:c>
      <x:c r="B27" s="5">
        <x:v>298.14999999999998</x:v>
      </x:c>
      <x:c r="C27" s="6">
        <x:v>0.6</x:v>
      </x:c>
      <x:c r="D27" s="7">
        <x:v>1.474</x:v>
      </x:c>
      <x:c r="E27" s="8">
        <x:v>21</x:v>
      </x:c>
      <x:c r="F27" s="4" t="s">
        <x:v>14</x:v>
      </x:c>
      <x:c r="G27" s="9" t="s">
        <x:v>15</x:v>
      </x:c>
    </x:row>
    <x:row r="28" ht="15" customHeight="1">
      <x:c r="A28" s="4" t="s">
        <x:v>7</x:v>
      </x:c>
      <x:c r="B28" s="5">
        <x:v>298.14999999999998</x:v>
      </x:c>
      <x:c r="C28" s="6">
        <x:v>0.7</x:v>
      </x:c>
      <x:c r="D28" s="7">
        <x:v>1.4750000000000001</x:v>
      </x:c>
      <x:c r="E28" s="8">
        <x:v>21</x:v>
      </x:c>
      <x:c r="F28" s="4" t="s">
        <x:v>14</x:v>
      </x:c>
      <x:c r="G28" s="9" t="s">
        <x:v>15</x:v>
      </x:c>
    </x:row>
    <x:row r="29" ht="15" customHeight="1">
      <x:c r="A29" s="4" t="s">
        <x:v>7</x:v>
      </x:c>
      <x:c r="B29" s="5">
        <x:v>298.14999999999998</x:v>
      </x:c>
      <x:c r="C29" s="6">
        <x:v>0.8</x:v>
      </x:c>
      <x:c r="D29" s="7">
        <x:v>1.4770000000000001</x:v>
      </x:c>
      <x:c r="E29" s="8">
        <x:v>21</x:v>
      </x:c>
      <x:c r="F29" s="4" t="s">
        <x:v>14</x:v>
      </x:c>
      <x:c r="G29" s="9" t="s">
        <x:v>15</x:v>
      </x:c>
    </x:row>
    <x:row r="30" ht="15" customHeight="1">
      <x:c r="A30" s="4" t="s">
        <x:v>7</x:v>
      </x:c>
      <x:c r="B30" s="5">
        <x:v>298.14999999999998</x:v>
      </x:c>
      <x:c r="C30" s="6">
        <x:v>0.9</x:v>
      </x:c>
      <x:c r="D30" s="7">
        <x:v>1.478</x:v>
      </x:c>
      <x:c r="E30" s="8">
        <x:v>21</x:v>
      </x:c>
      <x:c r="F30" s="4" t="s">
        <x:v>14</x:v>
      </x:c>
      <x:c r="G30" s="9" t="s">
        <x:v>15</x:v>
      </x:c>
    </x:row>
    <x:row r="31" ht="15" customHeight="1">
      <x:c r="A31" s="4" t="s">
        <x:v>7</x:v>
      </x:c>
      <x:c r="B31" s="5">
        <x:v>298.14999999999998</x:v>
      </x:c>
      <x:c r="C31" s="6">
        <x:v>1</x:v>
      </x:c>
      <x:c r="D31" s="7">
        <x:v>1.48</x:v>
      </x:c>
      <x:c r="E31" s="8">
        <x:v>21</x:v>
      </x:c>
      <x:c r="F31" s="4" t="s">
        <x:v>14</x:v>
      </x:c>
      <x:c r="G31" s="9" t="s">
        <x:v>15</x:v>
      </x:c>
    </x:row>
    <x:row r="32" ht="15" customHeight="1">
      <x:c r="A32" s="4" t="s">
        <x:v>7</x:v>
      </x:c>
      <x:c r="B32" s="5">
        <x:v>298.14999999999998</x:v>
      </x:c>
      <x:c r="C32" s="6">
        <x:v>1.2</x:v>
      </x:c>
      <x:c r="D32" s="7">
        <x:v>1.4850000000000001</x:v>
      </x:c>
      <x:c r="E32" s="8">
        <x:v>21</x:v>
      </x:c>
      <x:c r="F32" s="4" t="s">
        <x:v>14</x:v>
      </x:c>
      <x:c r="G32" s="9" t="s">
        <x:v>15</x:v>
      </x:c>
    </x:row>
    <x:row r="33" ht="15" customHeight="1">
      <x:c r="A33" s="4" t="s">
        <x:v>7</x:v>
      </x:c>
      <x:c r="B33" s="5">
        <x:v>298.14999999999998</x:v>
      </x:c>
      <x:c r="C33" s="6">
        <x:v>1.4</x:v>
      </x:c>
      <x:c r="D33" s="7">
        <x:v>1.4910000000000001</x:v>
      </x:c>
      <x:c r="E33" s="8">
        <x:v>21</x:v>
      </x:c>
      <x:c r="F33" s="4" t="s">
        <x:v>14</x:v>
      </x:c>
      <x:c r="G33" s="9" t="s">
        <x:v>15</x:v>
      </x:c>
    </x:row>
    <x:row r="34" ht="15" customHeight="1">
      <x:c r="A34" s="4" t="s">
        <x:v>7</x:v>
      </x:c>
      <x:c r="B34" s="5">
        <x:v>298.14999999999998</x:v>
      </x:c>
      <x:c r="C34" s="6">
        <x:v>1.6</x:v>
      </x:c>
      <x:c r="D34" s="7">
        <x:v>1.498</x:v>
      </x:c>
      <x:c r="E34" s="8">
        <x:v>21</x:v>
      </x:c>
      <x:c r="F34" s="4" t="s">
        <x:v>14</x:v>
      </x:c>
      <x:c r="G34" s="9" t="s">
        <x:v>15</x:v>
      </x:c>
    </x:row>
    <x:row r="35" ht="15" customHeight="1">
      <x:c r="A35" s="4" t="s">
        <x:v>7</x:v>
      </x:c>
      <x:c r="B35" s="5">
        <x:v>298.14999999999998</x:v>
      </x:c>
      <x:c r="C35" s="6">
        <x:v>1.8</x:v>
      </x:c>
      <x:c r="D35" s="7">
        <x:v>1.5069999999999999</x:v>
      </x:c>
      <x:c r="E35" s="8">
        <x:v>21</x:v>
      </x:c>
      <x:c r="F35" s="4" t="s">
        <x:v>14</x:v>
      </x:c>
      <x:c r="G35" s="9" t="s">
        <x:v>15</x:v>
      </x:c>
    </x:row>
    <x:row r="36" ht="15" customHeight="1">
      <x:c r="A36" s="4" t="s">
        <x:v>7</x:v>
      </x:c>
      <x:c r="B36" s="5">
        <x:v>298.14999999999998</x:v>
      </x:c>
      <x:c r="C36" s="6">
        <x:v>2</x:v>
      </x:c>
      <x:c r="D36" s="7">
        <x:v>1.516</x:v>
      </x:c>
      <x:c r="E36" s="8">
        <x:v>21</x:v>
      </x:c>
      <x:c r="F36" s="4" t="s">
        <x:v>14</x:v>
      </x:c>
      <x:c r="G36" s="9" t="s">
        <x:v>15</x:v>
      </x:c>
    </x:row>
    <x:row r="37" ht="15" customHeight="1">
      <x:c r="A37" s="4" t="s">
        <x:v>7</x:v>
      </x:c>
      <x:c r="B37" s="5">
        <x:v>298.14999999999998</x:v>
      </x:c>
      <x:c r="C37" s="6">
        <x:v>2.5</x:v>
      </x:c>
      <x:c r="D37" s="7">
        <x:v>1.54</x:v>
      </x:c>
      <x:c r="E37" s="8">
        <x:v>21</x:v>
      </x:c>
      <x:c r="F37" s="4" t="s">
        <x:v>14</x:v>
      </x:c>
      <x:c r="G37" s="9" t="s">
        <x:v>15</x:v>
      </x:c>
    </x:row>
    <x:row r="38" ht="15" customHeight="1">
      <x:c r="A38" s="4" t="s">
        <x:v>7</x:v>
      </x:c>
      <x:c r="B38" s="5">
        <x:v>298.14999999999998</x:v>
      </x:c>
      <x:c r="C38" s="6">
        <x:v>3</x:v>
      </x:c>
      <x:c r="D38" s="7">
        <x:v>1.5649999999999999</x:v>
      </x:c>
      <x:c r="E38" s="8">
        <x:v>21</x:v>
      </x:c>
      <x:c r="F38" s="4" t="s">
        <x:v>14</x:v>
      </x:c>
      <x:c r="G38" s="9" t="s">
        <x:v>15</x:v>
      </x:c>
    </x:row>
    <x:row r="39" ht="15" customHeight="1">
      <x:c r="A39" s="4" t="s">
        <x:v>7</x:v>
      </x:c>
      <x:c r="B39" s="5">
        <x:v>298.14999999999998</x:v>
      </x:c>
      <x:c r="C39" s="6">
        <x:v>3.5</x:v>
      </x:c>
      <x:c r="D39" s="7">
        <x:v>1.5840000000000001</x:v>
      </x:c>
      <x:c r="E39" s="8">
        <x:v>21</x:v>
      </x:c>
      <x:c r="F39" s="4" t="s">
        <x:v>14</x:v>
      </x:c>
      <x:c r="G39" s="9" t="s">
        <x:v>15</x:v>
      </x:c>
    </x:row>
    <x:row r="40" ht="15" customHeight="1">
      <x:c r="A40" s="4" t="s">
        <x:v>7</x:v>
      </x:c>
      <x:c r="B40" s="5">
        <x:v>298.14999999999998</x:v>
      </x:c>
      <x:c r="C40" s="6">
        <x:v>4</x:v>
      </x:c>
      <x:c r="D40" s="7">
        <x:v>1.5940000000000001</x:v>
      </x:c>
      <x:c r="E40" s="8">
        <x:v>21</x:v>
      </x:c>
      <x:c r="F40" s="4" t="s">
        <x:v>14</x:v>
      </x:c>
      <x:c r="G40" s="9" t="s">
        <x:v>15</x:v>
      </x:c>
    </x:row>
    <x:row r="41" ht="15" customHeight="1">
      <x:c r="A41" s="4" t="s">
        <x:v>7</x:v>
      </x:c>
      <x:c r="B41" s="5">
        <x:v>298.14999999999998</x:v>
      </x:c>
      <x:c r="C41" s="6">
        <x:v>4.5</x:v>
      </x:c>
      <x:c r="D41" s="7">
        <x:v>1.5940000000000001</x:v>
      </x:c>
      <x:c r="E41" s="8">
        <x:v>21</x:v>
      </x:c>
      <x:c r="F41" s="4" t="s">
        <x:v>14</x:v>
      </x:c>
      <x:c r="G41" s="9" t="s">
        <x:v>15</x:v>
      </x:c>
    </x:row>
    <x:row r="42" ht="15" customHeight="1">
      <x:c r="A42" s="4" t="s">
        <x:v>7</x:v>
      </x:c>
      <x:c r="B42" s="5">
        <x:v>298.14999999999998</x:v>
      </x:c>
      <x:c r="C42" s="6">
        <x:v>5</x:v>
      </x:c>
      <x:c r="D42" s="7">
        <x:v>1.59</x:v>
      </x:c>
      <x:c r="E42" s="8">
        <x:v>21</x:v>
      </x:c>
      <x:c r="F42" s="4" t="s">
        <x:v>14</x:v>
      </x:c>
      <x:c r="G42" s="9" t="s">
        <x:v>15</x:v>
      </x:c>
    </x:row>
    <x:row r="43" ht="15" customHeight="1">
      <x:c r="A43" s="4" t="s">
        <x:v>7</x:v>
      </x:c>
      <x:c r="B43" s="5">
        <x:v>298.14999999999998</x:v>
      </x:c>
      <x:c r="C43" s="6">
        <x:v>5.4</x:v>
      </x:c>
      <x:c r="D43" s="7">
        <x:v>1.5840000000000001</x:v>
      </x:c>
      <x:c r="E43" s="8">
        <x:v>21</x:v>
      </x:c>
      <x:c r="F43" s="4" t="s">
        <x:v>14</x:v>
      </x:c>
      <x:c r="G43" s="9" t="s">
        <x:v>15</x:v>
      </x:c>
    </x:row>
    <x:row r="44" ht="15" customHeight="1">
      <x:c r="A44" s="4" t="s">
        <x:v>7</x:v>
      </x:c>
      <x:c r="B44" s="5">
        <x:v>298.14999999999998</x:v>
      </x:c>
      <x:c r="C44" s="6">
        <x:v>6.9999999999999999E-4</x:v>
      </x:c>
      <x:c r="D44" s="7">
        <x:v>1.5860000000000001</x:v>
      </x:c>
      <x:c r="E44" s="8">
        <x:v>29</x:v>
      </x:c>
      <x:c r="F44" s="4" t="s">
        <x:v>16</x:v>
      </x:c>
      <x:c r="G44" s="9" t="s">
        <x:v>17</x:v>
      </x:c>
    </x:row>
    <x:row r="45" ht="15" customHeight="1">
      <x:c r="A45" s="4" t="s">
        <x:v>7</x:v>
      </x:c>
      <x:c r="B45" s="5">
        <x:v>298.14999999999998</x:v>
      </x:c>
      <x:c r="C45" s="6">
        <x:v>1.6000000000000001E-3</x:v>
      </x:c>
      <x:c r="D45" s="7">
        <x:v>1.5760000000000001</x:v>
      </x:c>
      <x:c r="E45" s="8">
        <x:v>29</x:v>
      </x:c>
      <x:c r="F45" s="4" t="s">
        <x:v>16</x:v>
      </x:c>
      <x:c r="G45" s="9" t="s">
        <x:v>17</x:v>
      </x:c>
    </x:row>
    <x:row r="46" ht="15" customHeight="1">
      <x:c r="A46" s="4" t="s">
        <x:v>7</x:v>
      </x:c>
      <x:c r="B46" s="5">
        <x:v>298.14999999999998</x:v>
      </x:c>
      <x:c r="C46" s="6">
        <x:v>3.3E-3</x:v>
      </x:c>
      <x:c r="D46" s="7">
        <x:v>1.5760000000000001</x:v>
      </x:c>
      <x:c r="E46" s="8">
        <x:v>29</x:v>
      </x:c>
      <x:c r="F46" s="4" t="s">
        <x:v>16</x:v>
      </x:c>
      <x:c r="G46" s="9" t="s">
        <x:v>17</x:v>
      </x:c>
    </x:row>
    <x:row r="47" ht="15" customHeight="1">
      <x:c r="A47" s="4" t="s">
        <x:v>7</x:v>
      </x:c>
      <x:c r="B47" s="5">
        <x:v>298.14999999999998</x:v>
      </x:c>
      <x:c r="C47" s="6">
        <x:v>4.4999999999999997E-3</x:v>
      </x:c>
      <x:c r="D47" s="7">
        <x:v>1.5620000000000001</x:v>
      </x:c>
      <x:c r="E47" s="8">
        <x:v>29</x:v>
      </x:c>
      <x:c r="F47" s="4" t="s">
        <x:v>16</x:v>
      </x:c>
      <x:c r="G47" s="9" t="s">
        <x:v>17</x:v>
      </x:c>
    </x:row>
    <x:row r="48" ht="15" customHeight="1">
      <x:c r="A48" s="4" t="s">
        <x:v>7</x:v>
      </x:c>
      <x:c r="B48" s="5">
        <x:v>298.14999999999998</x:v>
      </x:c>
      <x:c r="C48" s="6">
        <x:v>5.1999999999999998E-3</x:v>
      </x:c>
      <x:c r="D48" s="7">
        <x:v>1.5589999999999999</x:v>
      </x:c>
      <x:c r="E48" s="8">
        <x:v>29</x:v>
      </x:c>
      <x:c r="F48" s="4" t="s">
        <x:v>16</x:v>
      </x:c>
      <x:c r="G48" s="9" t="s">
        <x:v>17</x:v>
      </x:c>
    </x:row>
    <x:row r="49" ht="15" customHeight="1">
      <x:c r="A49" s="4" t="s">
        <x:v>7</x:v>
      </x:c>
      <x:c r="B49" s="5">
        <x:v>298.14999999999998</x:v>
      </x:c>
      <x:c r="C49" s="6">
        <x:v>6.4999999999999997E-3</x:v>
      </x:c>
      <x:c r="D49" s="7">
        <x:v>1.5569999999999999</x:v>
      </x:c>
      <x:c r="E49" s="8">
        <x:v>29</x:v>
      </x:c>
      <x:c r="F49" s="4" t="s">
        <x:v>16</x:v>
      </x:c>
      <x:c r="G49" s="9" t="s">
        <x:v>17</x:v>
      </x:c>
    </x:row>
    <x:row r="50" ht="15" customHeight="1">
      <x:c r="A50" s="4" t="s">
        <x:v>7</x:v>
      </x:c>
      <x:c r="B50" s="5">
        <x:v>298.14999999999998</x:v>
      </x:c>
      <x:c r="C50" s="6">
        <x:v>7.7000000000000002E-3</x:v>
      </x:c>
      <x:c r="D50" s="7">
        <x:v>1.5549999999999999</x:v>
      </x:c>
      <x:c r="E50" s="8">
        <x:v>29</x:v>
      </x:c>
      <x:c r="F50" s="4" t="s">
        <x:v>16</x:v>
      </x:c>
      <x:c r="G50" s="9" t="s">
        <x:v>17</x:v>
      </x:c>
    </x:row>
    <x:row r="51" ht="15" customHeight="1">
      <x:c r="A51" s="4" t="s">
        <x:v>7</x:v>
      </x:c>
      <x:c r="B51" s="5">
        <x:v>298.14999999999998</x:v>
      </x:c>
      <x:c r="C51" s="6">
        <x:v>8.9999999999999993E-3</x:v>
      </x:c>
      <x:c r="D51" s="7">
        <x:v>1.544</x:v>
      </x:c>
      <x:c r="E51" s="8">
        <x:v>29</x:v>
      </x:c>
      <x:c r="F51" s="4" t="s">
        <x:v>16</x:v>
      </x:c>
      <x:c r="G51" s="9" t="s">
        <x:v>17</x:v>
      </x:c>
    </x:row>
    <x:row r="52" ht="15" customHeight="1">
      <x:c r="A52" s="4" t="s">
        <x:v>7</x:v>
      </x:c>
      <x:c r="B52" s="5">
        <x:v>298.14999999999998</x:v>
      </x:c>
      <x:c r="C52" s="6">
        <x:v>9.2999999999999992E-3</x:v>
      </x:c>
      <x:c r="D52" s="7">
        <x:v>1.544</x:v>
      </x:c>
      <x:c r="E52" s="8">
        <x:v>29</x:v>
      </x:c>
      <x:c r="F52" s="4" t="s">
        <x:v>16</x:v>
      </x:c>
      <x:c r="G52" s="9" t="s">
        <x:v>17</x:v>
      </x:c>
    </x:row>
    <x:row r="53" ht="15" customHeight="1">
      <x:c r="A53" s="4" t="s">
        <x:v>7</x:v>
      </x:c>
      <x:c r="B53" s="5">
        <x:v>298.14999999999998</x:v>
      </x:c>
      <x:c r="C53" s="6">
        <x:v>0.01</x:v>
      </x:c>
      <x:c r="D53" s="7">
        <x:v>1.5469999999999999</x:v>
      </x:c>
      <x:c r="E53" s="8">
        <x:v>29</x:v>
      </x:c>
      <x:c r="F53" s="4" t="s">
        <x:v>16</x:v>
      </x:c>
      <x:c r="G53" s="9" t="s">
        <x:v>17</x:v>
      </x:c>
    </x:row>
    <x:row r="54" ht="15" customHeight="1">
      <x:c r="A54" s="4" t="s">
        <x:v>7</x:v>
      </x:c>
      <x:c r="B54" s="5">
        <x:v>298.14999999999998</x:v>
      </x:c>
      <x:c r="C54" s="6">
        <x:v>1.47E-2</x:v>
      </x:c>
      <x:c r="D54" s="7">
        <x:v>1.542</x:v>
      </x:c>
      <x:c r="E54" s="8">
        <x:v>29</x:v>
      </x:c>
      <x:c r="F54" s="4" t="s">
        <x:v>16</x:v>
      </x:c>
      <x:c r="G54" s="9" t="s">
        <x:v>17</x:v>
      </x:c>
    </x:row>
    <x:row r="55" ht="26.399999618530273" customHeight="1">
      <x:c r="A55" s="4" t="s">
        <x:v>7</x:v>
      </x:c>
      <x:c r="B55" s="5">
        <x:v>298.14999999999998</x:v>
      </x:c>
      <x:c r="C55" s="6">
        <x:v>0.1</x:v>
      </x:c>
      <x:c r="D55" s="7">
        <x:v>1.484</x:v>
      </x:c>
      <x:c r="E55" s="8">
        <x:v>44</x:v>
      </x:c>
      <x:c r="F55" s="4" t="s">
        <x:v>18</x:v>
      </x:c>
      <x:c r="G55" s="9" t="s">
        <x:v>19</x:v>
      </x:c>
    </x:row>
    <x:row r="56" ht="26.399999618530273" customHeight="1">
      <x:c r="A56" s="4" t="s">
        <x:v>7</x:v>
      </x:c>
      <x:c r="B56" s="5">
        <x:v>298.14999999999998</x:v>
      </x:c>
      <x:c r="C56" s="6">
        <x:v>0.5</x:v>
      </x:c>
      <x:c r="D56" s="7">
        <x:v>1.474</x:v>
      </x:c>
      <x:c r="E56" s="8">
        <x:v>44</x:v>
      </x:c>
      <x:c r="F56" s="4" t="s">
        <x:v>18</x:v>
      </x:c>
      <x:c r="G56" s="9" t="s">
        <x:v>19</x:v>
      </x:c>
    </x:row>
    <x:row r="57" ht="26.399999618530273" customHeight="1">
      <x:c r="A57" s="4" t="s">
        <x:v>7</x:v>
      </x:c>
      <x:c r="B57" s="5">
        <x:v>298.14999999999998</x:v>
      </x:c>
      <x:c r="C57" s="6">
        <x:v>1</x:v>
      </x:c>
      <x:c r="D57" s="7">
        <x:v>1.4830000000000001</x:v>
      </x:c>
      <x:c r="E57" s="8">
        <x:v>44</x:v>
      </x:c>
      <x:c r="F57" s="4" t="s">
        <x:v>18</x:v>
      </x:c>
      <x:c r="G57" s="9" t="s">
        <x:v>19</x:v>
      </x:c>
    </x:row>
    <x:row r="58" ht="26.399999618530273" customHeight="1">
      <x:c r="A58" s="4" t="s">
        <x:v>7</x:v>
      </x:c>
      <x:c r="B58" s="5">
        <x:v>298.14999999999998</x:v>
      </x:c>
      <x:c r="C58" s="6">
        <x:v>2</x:v>
      </x:c>
      <x:c r="D58" s="7">
        <x:v>1.514</x:v>
      </x:c>
      <x:c r="E58" s="8">
        <x:v>44</x:v>
      </x:c>
      <x:c r="F58" s="4" t="s">
        <x:v>18</x:v>
      </x:c>
      <x:c r="G58" s="9" t="s">
        <x:v>19</x:v>
      </x:c>
    </x:row>
    <x:row r="59" ht="26.399999618530273" customHeight="1">
      <x:c r="A59" s="4" t="s">
        <x:v>7</x:v>
      </x:c>
      <x:c r="B59" s="5">
        <x:v>298.14999999999998</x:v>
      </x:c>
      <x:c r="C59" s="6">
        <x:v>3</x:v>
      </x:c>
      <x:c r="D59" s="7">
        <x:v>1.544</x:v>
      </x:c>
      <x:c r="E59" s="8">
        <x:v>44</x:v>
      </x:c>
      <x:c r="F59" s="4" t="s">
        <x:v>18</x:v>
      </x:c>
      <x:c r="G59" s="9" t="s">
        <x:v>19</x:v>
      </x:c>
    </x:row>
    <x:row r="60" ht="26.399999618530273" customHeight="1">
      <x:c r="A60" s="4" t="s">
        <x:v>7</x:v>
      </x:c>
      <x:c r="B60" s="5">
        <x:v>298.14999999999998</x:v>
      </x:c>
      <x:c r="C60" s="6">
        <x:v>4</x:v>
      </x:c>
      <x:c r="D60" s="7">
        <x:v>1.5840000000000001</x:v>
      </x:c>
      <x:c r="E60" s="8">
        <x:v>44</x:v>
      </x:c>
      <x:c r="F60" s="4" t="s">
        <x:v>18</x:v>
      </x:c>
      <x:c r="G60" s="9" t="s">
        <x:v>19</x:v>
      </x:c>
    </x:row>
    <x:row r="61" ht="15" customHeight="1">
      <x:c r="A61" s="4" t="s">
        <x:v>7</x:v>
      </x:c>
      <x:c r="B61" s="5">
        <x:v>298.14999999999998</x:v>
      </x:c>
      <x:c r="C61" s="6">
        <x:v>1E-4</x:v>
      </x:c>
      <x:c r="D61" s="7">
        <x:v>1.603</x:v>
      </x:c>
      <x:c r="E61" s="8">
        <x:v>67</x:v>
      </x:c>
      <x:c r="F61" s="4" t="s">
        <x:v>20</x:v>
      </x:c>
      <x:c r="G61" s="9" t="s">
        <x:v>21</x:v>
      </x:c>
    </x:row>
    <x:row r="62" ht="15" customHeight="1">
      <x:c r="A62" s="4" t="s">
        <x:v>7</x:v>
      </x:c>
      <x:c r="B62" s="5">
        <x:v>298.14999999999998</x:v>
      </x:c>
      <x:c r="C62" s="6">
        <x:v>5.0000000000000001E-4</x:v>
      </x:c>
      <x:c r="D62" s="7">
        <x:v>1.593</x:v>
      </x:c>
      <x:c r="E62" s="8">
        <x:v>67</x:v>
      </x:c>
      <x:c r="F62" s="4" t="s">
        <x:v>20</x:v>
      </x:c>
      <x:c r="G62" s="9" t="s">
        <x:v>21</x:v>
      </x:c>
    </x:row>
    <x:row r="63" ht="15" customHeight="1">
      <x:c r="A63" s="4" t="s">
        <x:v>7</x:v>
      </x:c>
      <x:c r="B63" s="5">
        <x:v>298.14999999999998</x:v>
      </x:c>
      <x:c r="C63" s="6">
        <x:v>1E-3</x:v>
      </x:c>
      <x:c r="D63" s="7">
        <x:v>1.587</x:v>
      </x:c>
      <x:c r="E63" s="8">
        <x:v>67</x:v>
      </x:c>
      <x:c r="F63" s="4" t="s">
        <x:v>20</x:v>
      </x:c>
      <x:c r="G63" s="9" t="s">
        <x:v>21</x:v>
      </x:c>
    </x:row>
    <x:row r="64" ht="15" customHeight="1">
      <x:c r="A64" s="4" t="s">
        <x:v>7</x:v>
      </x:c>
      <x:c r="B64" s="5">
        <x:v>298.14999999999998</x:v>
      </x:c>
      <x:c r="C64" s="6">
        <x:v>5.0000000000000001E-3</x:v>
      </x:c>
      <x:c r="D64" s="7">
        <x:v>1.5620000000000001</x:v>
      </x:c>
      <x:c r="E64" s="8">
        <x:v>67</x:v>
      </x:c>
      <x:c r="F64" s="4" t="s">
        <x:v>20</x:v>
      </x:c>
      <x:c r="G64" s="9" t="s">
        <x:v>21</x:v>
      </x:c>
    </x:row>
    <x:row r="65" ht="15" customHeight="1">
      <x:c r="A65" s="4" t="s">
        <x:v>7</x:v>
      </x:c>
      <x:c r="B65" s="5">
        <x:v>298.14999999999998</x:v>
      </x:c>
      <x:c r="C65" s="6">
        <x:v>0.01</x:v>
      </x:c>
      <x:c r="D65" s="7">
        <x:v>1.5469999999999999</x:v>
      </x:c>
      <x:c r="E65" s="8">
        <x:v>67</x:v>
      </x:c>
      <x:c r="F65" s="4" t="s">
        <x:v>20</x:v>
      </x:c>
      <x:c r="G65" s="9" t="s">
        <x:v>21</x:v>
      </x:c>
    </x:row>
    <x:row r="66" ht="15" customHeight="1">
      <x:c r="A66" s="4" t="s">
        <x:v>7</x:v>
      </x:c>
      <x:c r="B66" s="5">
        <x:v>298.14999999999998</x:v>
      </x:c>
      <x:c r="C66" s="6">
        <x:v>0.05</x:v>
      </x:c>
      <x:c r="D66" s="7">
        <x:v>1.5029999999999999</x:v>
      </x:c>
      <x:c r="E66" s="8">
        <x:v>67</x:v>
      </x:c>
      <x:c r="F66" s="4" t="s">
        <x:v>20</x:v>
      </x:c>
      <x:c r="G66" s="9" t="s">
        <x:v>21</x:v>
      </x:c>
    </x:row>
    <x:row r="67" ht="15" customHeight="1">
      <x:c r="A67" s="4" t="s">
        <x:v>7</x:v>
      </x:c>
      <x:c r="B67" s="5">
        <x:v>298.14999999999998</x:v>
      </x:c>
      <x:c r="C67" s="6">
        <x:v>0.1</x:v>
      </x:c>
      <x:c r="D67" s="7">
        <x:v>1.4850000000000001</x:v>
      </x:c>
      <x:c r="E67" s="8">
        <x:v>67</x:v>
      </x:c>
      <x:c r="F67" s="4" t="s">
        <x:v>20</x:v>
      </x:c>
      <x:c r="G67" s="9" t="s">
        <x:v>21</x:v>
      </x:c>
    </x:row>
    <x:row r="68" ht="15" customHeight="1">
      <x:c r="A68" s="4" t="s">
        <x:v>7</x:v>
      </x:c>
      <x:c r="B68" s="5">
        <x:v>298.14999999999998</x:v>
      </x:c>
      <x:c r="C68" s="6">
        <x:v>0.2</x:v>
      </x:c>
      <x:c r="D68" s="7">
        <x:v>1.474</x:v>
      </x:c>
      <x:c r="E68" s="8">
        <x:v>67</x:v>
      </x:c>
      <x:c r="F68" s="4" t="s">
        <x:v>20</x:v>
      </x:c>
      <x:c r="G68" s="9" t="s">
        <x:v>21</x:v>
      </x:c>
    </x:row>
    <x:row r="69" ht="15" customHeight="1">
      <x:c r="A69" s="4" t="s">
        <x:v>7</x:v>
      </x:c>
      <x:c r="B69" s="5">
        <x:v>298.14999999999998</x:v>
      </x:c>
      <x:c r="C69" s="6">
        <x:v>0.5</x:v>
      </x:c>
      <x:c r="D69" s="7">
        <x:v>1.474</x:v>
      </x:c>
      <x:c r="E69" s="8">
        <x:v>67</x:v>
      </x:c>
      <x:c r="F69" s="4" t="s">
        <x:v>20</x:v>
      </x:c>
      <x:c r="G69" s="9" t="s">
        <x:v>21</x:v>
      </x:c>
    </x:row>
    <x:row r="70" ht="15" customHeight="1">
      <x:c r="A70" s="4" t="s">
        <x:v>7</x:v>
      </x:c>
      <x:c r="B70" s="5">
        <x:v>298.14999999999998</x:v>
      </x:c>
      <x:c r="C70" s="6">
        <x:v>0.7</x:v>
      </x:c>
      <x:c r="D70" s="7">
        <x:v>1.4770000000000001</x:v>
      </x:c>
      <x:c r="E70" s="8">
        <x:v>67</x:v>
      </x:c>
      <x:c r="F70" s="4" t="s">
        <x:v>20</x:v>
      </x:c>
      <x:c r="G70" s="9" t="s">
        <x:v>21</x:v>
      </x:c>
    </x:row>
    <x:row r="71" ht="15" customHeight="1">
      <x:c r="A71" s="4" t="s">
        <x:v>7</x:v>
      </x:c>
      <x:c r="B71" s="5">
        <x:v>298.14999999999998</x:v>
      </x:c>
      <x:c r="C71" s="6">
        <x:v>1</x:v>
      </x:c>
      <x:c r="D71" s="7">
        <x:v>1.484</x:v>
      </x:c>
      <x:c r="E71" s="8">
        <x:v>67</x:v>
      </x:c>
      <x:c r="F71" s="4" t="s">
        <x:v>20</x:v>
      </x:c>
      <x:c r="G71" s="9" t="s">
        <x:v>21</x:v>
      </x:c>
    </x:row>
    <x:row r="72" ht="15" customHeight="1">
      <x:c r="A72" s="4" t="s">
        <x:v>7</x:v>
      </x:c>
      <x:c r="B72" s="5">
        <x:v>298.14999999999998</x:v>
      </x:c>
      <x:c r="C72" s="6">
        <x:v>1.5</x:v>
      </x:c>
      <x:c r="D72" s="7">
        <x:v>1.5009999999999999</x:v>
      </x:c>
      <x:c r="E72" s="8">
        <x:v>67</x:v>
      </x:c>
      <x:c r="F72" s="4" t="s">
        <x:v>20</x:v>
      </x:c>
      <x:c r="G72" s="9" t="s">
        <x:v>21</x:v>
      </x:c>
    </x:row>
    <x:row r="73" ht="15" customHeight="1">
      <x:c r="A73" s="4" t="s">
        <x:v>7</x:v>
      </x:c>
      <x:c r="B73" s="5">
        <x:v>298.14999999999998</x:v>
      </x:c>
      <x:c r="C73" s="6">
        <x:v>2</x:v>
      </x:c>
      <x:c r="D73" s="7">
        <x:v>1.518</x:v>
      </x:c>
      <x:c r="E73" s="8">
        <x:v>67</x:v>
      </x:c>
      <x:c r="F73" s="4" t="s">
        <x:v>20</x:v>
      </x:c>
      <x:c r="G73" s="9" t="s">
        <x:v>21</x:v>
      </x:c>
    </x:row>
    <x:row r="74" ht="15" customHeight="1">
      <x:c r="A74" s="4" t="s">
        <x:v>7</x:v>
      </x:c>
      <x:c r="B74" s="5">
        <x:v>298.14999999999998</x:v>
      </x:c>
      <x:c r="C74" s="6">
        <x:v>2.5</x:v>
      </x:c>
      <x:c r="D74" s="7">
        <x:v>1.542</x:v>
      </x:c>
      <x:c r="E74" s="8">
        <x:v>67</x:v>
      </x:c>
      <x:c r="F74" s="4" t="s">
        <x:v>20</x:v>
      </x:c>
      <x:c r="G74" s="9" t="s">
        <x:v>21</x:v>
      </x:c>
    </x:row>
    <x:row r="75" ht="15" customHeight="1">
      <x:c r="A75" s="4" t="s">
        <x:v>7</x:v>
      </x:c>
      <x:c r="B75" s="5">
        <x:v>298.14999999999998</x:v>
      </x:c>
      <x:c r="C75" s="6">
        <x:v>3</x:v>
      </x:c>
      <x:c r="D75" s="7">
        <x:v>1.5640000000000001</x:v>
      </x:c>
      <x:c r="E75" s="8">
        <x:v>67</x:v>
      </x:c>
      <x:c r="F75" s="4" t="s">
        <x:v>20</x:v>
      </x:c>
      <x:c r="G75" s="9" t="s">
        <x:v>21</x:v>
      </x:c>
    </x:row>
    <x:row r="76" ht="15" customHeight="1">
      <x:c r="A76" s="4" t="s">
        <x:v>7</x:v>
      </x:c>
      <x:c r="B76" s="5">
        <x:v>298.14999999999998</x:v>
      </x:c>
      <x:c r="C76" s="6">
        <x:v>2.0000000000000002E-5</x:v>
      </x:c>
      <x:c r="D76" s="7">
        <x:v>1.51</x:v>
      </x:c>
      <x:c r="E76" s="8">
        <x:v>71</x:v>
      </x:c>
      <x:c r="F76" s="4" t="s">
        <x:v>22</x:v>
      </x:c>
      <x:c r="G76" s="9" t="s">
        <x:v>23</x:v>
      </x:c>
    </x:row>
    <x:row r="77" ht="15" customHeight="1">
      <x:c r="A77" s="4" t="s">
        <x:v>7</x:v>
      </x:c>
      <x:c r="B77" s="5">
        <x:v>298.14999999999998</x:v>
      </x:c>
      <x:c r="C77" s="6">
        <x:v>9.0000000000000006E-5</x:v>
      </x:c>
      <x:c r="D77" s="7">
        <x:v>1.54</x:v>
      </x:c>
      <x:c r="E77" s="8">
        <x:v>71</x:v>
      </x:c>
      <x:c r="F77" s="4" t="s">
        <x:v>22</x:v>
      </x:c>
      <x:c r="G77" s="9" t="s">
        <x:v>23</x:v>
      </x:c>
    </x:row>
    <x:row r="78" ht="15" customHeight="1">
      <x:c r="A78" s="4" t="s">
        <x:v>7</x:v>
      </x:c>
      <x:c r="B78" s="5">
        <x:v>298.14999999999998</x:v>
      </x:c>
      <x:c r="C78" s="6">
        <x:v>5.0000000000000001E-4</x:v>
      </x:c>
      <x:c r="D78" s="7">
        <x:v>1.58</x:v>
      </x:c>
      <x:c r="E78" s="8">
        <x:v>71</x:v>
      </x:c>
      <x:c r="F78" s="4" t="s">
        <x:v>22</x:v>
      </x:c>
      <x:c r="G78" s="9" t="s">
        <x:v>23</x:v>
      </x:c>
    </x:row>
    <x:row r="79" ht="15" customHeight="1">
      <x:c r="A79" s="4" t="s">
        <x:v>7</x:v>
      </x:c>
      <x:c r="B79" s="5">
        <x:v>298.14999999999998</x:v>
      </x:c>
      <x:c r="C79" s="6">
        <x:v>2E-3</x:v>
      </x:c>
      <x:c r="D79" s="7">
        <x:v>1.58</x:v>
      </x:c>
      <x:c r="E79" s="8">
        <x:v>71</x:v>
      </x:c>
      <x:c r="F79" s="4" t="s">
        <x:v>22</x:v>
      </x:c>
      <x:c r="G79" s="9" t="s">
        <x:v>23</x:v>
      </x:c>
    </x:row>
    <x:row r="80" ht="15" customHeight="1">
      <x:c r="A80" s="4" t="s">
        <x:v>7</x:v>
      </x:c>
      <x:c r="B80" s="5">
        <x:v>291.14999999999998</x:v>
      </x:c>
      <x:c r="C80" s="6">
        <x:v>0.05</x:v>
      </x:c>
      <x:c r="D80" s="7">
        <x:v>1.26</x:v>
      </x:c>
      <x:c r="E80" s="8">
        <x:v>82</x:v>
      </x:c>
      <x:c r="F80" s="4" t="s">
        <x:v>24</x:v>
      </x:c>
      <x:c r="G80" s="9" t="s">
        <x:v>25</x:v>
      </x:c>
    </x:row>
    <x:row r="81" ht="15" customHeight="1">
      <x:c r="A81" s="4" t="s">
        <x:v>7</x:v>
      </x:c>
      <x:c r="B81" s="5">
        <x:v>291.14999999999998</x:v>
      </x:c>
      <x:c r="C81" s="6">
        <x:v>0.1</x:v>
      </x:c>
      <x:c r="D81" s="7">
        <x:v>1.24</x:v>
      </x:c>
      <x:c r="E81" s="8">
        <x:v>82</x:v>
      </x:c>
      <x:c r="F81" s="4" t="s">
        <x:v>24</x:v>
      </x:c>
      <x:c r="G81" s="9" t="s">
        <x:v>25</x:v>
      </x:c>
    </x:row>
    <x:row r="82" ht="15" customHeight="1">
      <x:c r="A82" s="4" t="s">
        <x:v>7</x:v>
      </x:c>
      <x:c r="B82" s="5">
        <x:v>291.14999999999998</x:v>
      </x:c>
      <x:c r="C82" s="6">
        <x:v>0.2</x:v>
      </x:c>
      <x:c r="D82" s="7">
        <x:v>1.22</x:v>
      </x:c>
      <x:c r="E82" s="8">
        <x:v>82</x:v>
      </x:c>
      <x:c r="F82" s="4" t="s">
        <x:v>24</x:v>
      </x:c>
      <x:c r="G82" s="9" t="s">
        <x:v>25</x:v>
      </x:c>
    </x:row>
    <x:row r="83" ht="15" customHeight="1">
      <x:c r="A83" s="4" t="s">
        <x:v>7</x:v>
      </x:c>
      <x:c r="B83" s="5">
        <x:v>291.14999999999998</x:v>
      </x:c>
      <x:c r="C83" s="6">
        <x:v>0.4</x:v>
      </x:c>
      <x:c r="D83" s="7">
        <x:v>1.2</x:v>
      </x:c>
      <x:c r="E83" s="8">
        <x:v>82</x:v>
      </x:c>
      <x:c r="F83" s="4" t="s">
        <x:v>24</x:v>
      </x:c>
      <x:c r="G83" s="9" t="s">
        <x:v>25</x:v>
      </x:c>
    </x:row>
    <x:row r="84" ht="15" customHeight="1">
      <x:c r="A84" s="4" t="s">
        <x:v>7</x:v>
      </x:c>
      <x:c r="B84" s="5">
        <x:v>291.14999999999998</x:v>
      </x:c>
      <x:c r="C84" s="6">
        <x:v>0.6</x:v>
      </x:c>
      <x:c r="D84" s="7">
        <x:v>1.21</x:v>
      </x:c>
      <x:c r="E84" s="8">
        <x:v>82</x:v>
      </x:c>
      <x:c r="F84" s="4" t="s">
        <x:v>24</x:v>
      </x:c>
      <x:c r="G84" s="9" t="s">
        <x:v>25</x:v>
      </x:c>
    </x:row>
    <x:row r="85" ht="15" customHeight="1">
      <x:c r="A85" s="4" t="s">
        <x:v>7</x:v>
      </x:c>
      <x:c r="B85" s="5">
        <x:v>291.14999999999998</x:v>
      </x:c>
      <x:c r="C85" s="6">
        <x:v>0.8</x:v>
      </x:c>
      <x:c r="D85" s="7">
        <x:v>1.22</x:v>
      </x:c>
      <x:c r="E85" s="8">
        <x:v>82</x:v>
      </x:c>
      <x:c r="F85" s="4" t="s">
        <x:v>24</x:v>
      </x:c>
      <x:c r="G85" s="9" t="s">
        <x:v>25</x:v>
      </x:c>
    </x:row>
    <x:row r="86" ht="15" customHeight="1">
      <x:c r="A86" s="4" t="s">
        <x:v>7</x:v>
      </x:c>
      <x:c r="B86" s="5">
        <x:v>291.14999999999998</x:v>
      </x:c>
      <x:c r="C86" s="6">
        <x:v>1</x:v>
      </x:c>
      <x:c r="D86" s="7">
        <x:v>1.23</x:v>
      </x:c>
      <x:c r="E86" s="8">
        <x:v>82</x:v>
      </x:c>
      <x:c r="F86" s="4" t="s">
        <x:v>24</x:v>
      </x:c>
      <x:c r="G86" s="9" t="s">
        <x:v>25</x:v>
      </x:c>
    </x:row>
    <x:row r="87" ht="15" customHeight="1">
      <x:c r="A87" s="4" t="s">
        <x:v>7</x:v>
      </x:c>
      <x:c r="B87" s="5">
        <x:v>291.14999999999998</x:v>
      </x:c>
      <x:c r="C87" s="6">
        <x:v>1.5</x:v>
      </x:c>
      <x:c r="D87" s="7">
        <x:v>1.26</x:v>
      </x:c>
      <x:c r="E87" s="8">
        <x:v>82</x:v>
      </x:c>
      <x:c r="F87" s="4" t="s">
        <x:v>24</x:v>
      </x:c>
      <x:c r="G87" s="9" t="s">
        <x:v>25</x:v>
      </x:c>
    </x:row>
    <x:row r="88" ht="15" customHeight="1">
      <x:c r="A88" s="4" t="s">
        <x:v>7</x:v>
      </x:c>
      <x:c r="B88" s="5">
        <x:v>291.14999999999998</x:v>
      </x:c>
      <x:c r="C88" s="6">
        <x:v>2</x:v>
      </x:c>
      <x:c r="D88" s="7">
        <x:v>1.29</x:v>
      </x:c>
      <x:c r="E88" s="8">
        <x:v>82</x:v>
      </x:c>
      <x:c r="F88" s="4" t="s">
        <x:v>24</x:v>
      </x:c>
      <x:c r="G88" s="9" t="s">
        <x:v>25</x:v>
      </x:c>
    </x:row>
    <x:row r="89" ht="15" customHeight="1">
      <x:c r="A89" s="4" t="s">
        <x:v>7</x:v>
      </x:c>
      <x:c r="B89" s="5">
        <x:v>291.14999999999998</x:v>
      </x:c>
      <x:c r="C89" s="6">
        <x:v>2.5</x:v>
      </x:c>
      <x:c r="D89" s="7">
        <x:v>1.33</x:v>
      </x:c>
      <x:c r="E89" s="8">
        <x:v>82</x:v>
      </x:c>
      <x:c r="F89" s="4" t="s">
        <x:v>24</x:v>
      </x:c>
      <x:c r="G89" s="9" t="s">
        <x:v>25</x:v>
      </x:c>
    </x:row>
    <x:row r="90" ht="15" customHeight="1">
      <x:c r="A90" s="4" t="s">
        <x:v>7</x:v>
      </x:c>
      <x:c r="B90" s="5">
        <x:v>291.14999999999998</x:v>
      </x:c>
      <x:c r="C90" s="6">
        <x:v>3</x:v>
      </x:c>
      <x:c r="D90" s="7">
        <x:v>1.36</x:v>
      </x:c>
      <x:c r="E90" s="8">
        <x:v>82</x:v>
      </x:c>
      <x:c r="F90" s="4" t="s">
        <x:v>24</x:v>
      </x:c>
      <x:c r="G90" s="9" t="s">
        <x:v>25</x:v>
      </x:c>
    </x:row>
    <x:row r="91" ht="15" customHeight="1">
      <x:c r="A91" s="4" t="s">
        <x:v>7</x:v>
      </x:c>
      <x:c r="B91" s="5">
        <x:v>291.14999999999998</x:v>
      </x:c>
      <x:c r="C91" s="6">
        <x:v>3.5</x:v>
      </x:c>
      <x:c r="D91" s="7">
        <x:v>1.39</x:v>
      </x:c>
      <x:c r="E91" s="8">
        <x:v>82</x:v>
      </x:c>
      <x:c r="F91" s="4" t="s">
        <x:v>24</x:v>
      </x:c>
      <x:c r="G91" s="9" t="s">
        <x:v>25</x:v>
      </x:c>
    </x:row>
    <x:row r="92" ht="15" customHeight="1">
      <x:c r="A92" s="4" t="s">
        <x:v>7</x:v>
      </x:c>
      <x:c r="B92" s="5">
        <x:v>291.14999999999998</x:v>
      </x:c>
      <x:c r="C92" s="6">
        <x:v>4</x:v>
      </x:c>
      <x:c r="D92" s="7">
        <x:v>1.43</x:v>
      </x:c>
      <x:c r="E92" s="8">
        <x:v>82</x:v>
      </x:c>
      <x:c r="F92" s="4" t="s">
        <x:v>24</x:v>
      </x:c>
      <x:c r="G92" s="9" t="s">
        <x:v>25</x:v>
      </x:c>
    </x:row>
    <x:row r="93" ht="15" customHeight="1">
      <x:c r="A93" s="4" t="s">
        <x:v>7</x:v>
      </x:c>
      <x:c r="B93" s="5">
        <x:v>291.14999999999998</x:v>
      </x:c>
      <x:c r="C93" s="6">
        <x:v>4.5</x:v>
      </x:c>
      <x:c r="D93" s="7">
        <x:v>1.46</x:v>
      </x:c>
      <x:c r="E93" s="8">
        <x:v>82</x:v>
      </x:c>
      <x:c r="F93" s="4" t="s">
        <x:v>24</x:v>
      </x:c>
      <x:c r="G93" s="9" t="s">
        <x:v>25</x:v>
      </x:c>
    </x:row>
    <x:row r="94" ht="15" customHeight="1">
      <x:c r="A94" s="4" t="s">
        <x:v>7</x:v>
      </x:c>
      <x:c r="B94" s="5">
        <x:v>291.14999999999998</x:v>
      </x:c>
      <x:c r="C94" s="6">
        <x:v>5</x:v>
      </x:c>
      <x:c r="D94" s="7">
        <x:v>1.49</x:v>
      </x:c>
      <x:c r="E94" s="8">
        <x:v>82</x:v>
      </x:c>
      <x:c r="F94" s="4" t="s">
        <x:v>24</x:v>
      </x:c>
      <x:c r="G94" s="9" t="s">
        <x:v>25</x:v>
      </x:c>
    </x:row>
    <x:row r="95" ht="15" customHeight="1">
      <x:c r="A95" s="4" t="s">
        <x:v>7</x:v>
      </x:c>
      <x:c r="B95" s="5">
        <x:v>298.14999999999998</x:v>
      </x:c>
      <x:c r="C95" s="6">
        <x:v>0.05</x:v>
      </x:c>
      <x:c r="D95" s="7">
        <x:v>1.506</x:v>
      </x:c>
      <x:c r="E95" s="8">
        <x:v>84</x:v>
      </x:c>
      <x:c r="F95" s="4" t="s">
        <x:v>26</x:v>
      </x:c>
      <x:c r="G95" s="9" t="s">
        <x:v>27</x:v>
      </x:c>
    </x:row>
    <x:row r="96" ht="15" customHeight="1">
      <x:c r="A96" s="4" t="s">
        <x:v>7</x:v>
      </x:c>
      <x:c r="B96" s="5">
        <x:v>298.14999999999998</x:v>
      </x:c>
      <x:c r="C96" s="6">
        <x:v>0.1</x:v>
      </x:c>
      <x:c r="D96" s="7">
        <x:v>1.484</x:v>
      </x:c>
      <x:c r="E96" s="8">
        <x:v>84</x:v>
      </x:c>
      <x:c r="F96" s="4" t="s">
        <x:v>26</x:v>
      </x:c>
      <x:c r="G96" s="9" t="s">
        <x:v>27</x:v>
      </x:c>
    </x:row>
    <x:row r="97" ht="15" customHeight="1">
      <x:c r="A97" s="4" t="s">
        <x:v>7</x:v>
      </x:c>
      <x:c r="B97" s="5">
        <x:v>298.14999999999998</x:v>
      </x:c>
      <x:c r="C97" s="6">
        <x:v>0.2</x:v>
      </x:c>
      <x:c r="D97" s="7">
        <x:v>1.478</x:v>
      </x:c>
      <x:c r="E97" s="8">
        <x:v>84</x:v>
      </x:c>
      <x:c r="F97" s="4" t="s">
        <x:v>26</x:v>
      </x:c>
      <x:c r="G97" s="9" t="s">
        <x:v>27</x:v>
      </x:c>
    </x:row>
    <x:row r="98" ht="15" customHeight="1">
      <x:c r="A98" s="4" t="s">
        <x:v>7</x:v>
      </x:c>
      <x:c r="B98" s="5">
        <x:v>298.14999999999998</x:v>
      </x:c>
      <x:c r="C98" s="6">
        <x:v>0.3</x:v>
      </x:c>
      <x:c r="D98" s="7">
        <x:v>1.4770000000000001</x:v>
      </x:c>
      <x:c r="E98" s="8">
        <x:v>84</x:v>
      </x:c>
      <x:c r="F98" s="4" t="s">
        <x:v>26</x:v>
      </x:c>
      <x:c r="G98" s="9" t="s">
        <x:v>27</x:v>
      </x:c>
    </x:row>
    <x:row r="99" ht="15" customHeight="1">
      <x:c r="A99" s="4" t="s">
        <x:v>7</x:v>
      </x:c>
      <x:c r="B99" s="5">
        <x:v>298.14999999999998</x:v>
      </x:c>
      <x:c r="C99" s="6">
        <x:v>0.5</x:v>
      </x:c>
      <x:c r="D99" s="7">
        <x:v>1.474</x:v>
      </x:c>
      <x:c r="E99" s="8">
        <x:v>84</x:v>
      </x:c>
      <x:c r="F99" s="4" t="s">
        <x:v>26</x:v>
      </x:c>
      <x:c r="G99" s="9" t="s">
        <x:v>27</x:v>
      </x:c>
    </x:row>
    <x:row r="100" ht="15" customHeight="1">
      <x:c r="A100" s="4" t="s">
        <x:v>7</x:v>
      </x:c>
      <x:c r="B100" s="5">
        <x:v>298.14999999999998</x:v>
      </x:c>
      <x:c r="C100" s="6">
        <x:v>0.7</x:v>
      </x:c>
      <x:c r="D100" s="7">
        <x:v>1.4750000000000001</x:v>
      </x:c>
      <x:c r="E100" s="8">
        <x:v>84</x:v>
      </x:c>
      <x:c r="F100" s="4" t="s">
        <x:v>26</x:v>
      </x:c>
      <x:c r="G100" s="9" t="s">
        <x:v>27</x:v>
      </x:c>
    </x:row>
    <x:row r="101" ht="15" customHeight="1">
      <x:c r="A101" s="4" t="s">
        <x:v>7</x:v>
      </x:c>
      <x:c r="B101" s="5">
        <x:v>298.14999999999998</x:v>
      </x:c>
      <x:c r="C101" s="6">
        <x:v>1</x:v>
      </x:c>
      <x:c r="D101" s="7">
        <x:v>1.4830000000000001</x:v>
      </x:c>
      <x:c r="E101" s="8">
        <x:v>84</x:v>
      </x:c>
      <x:c r="F101" s="4" t="s">
        <x:v>26</x:v>
      </x:c>
      <x:c r="G101" s="9" t="s">
        <x:v>27</x:v>
      </x:c>
    </x:row>
    <x:row r="102" ht="15" customHeight="1">
      <x:c r="A102" s="4" t="s">
        <x:v>7</x:v>
      </x:c>
      <x:c r="B102" s="5">
        <x:v>298.14999999999998</x:v>
      </x:c>
      <x:c r="C102" s="6">
        <x:v>1.5</x:v>
      </x:c>
      <x:c r="D102" s="7">
        <x:v>1.4950000000000001</x:v>
      </x:c>
      <x:c r="E102" s="8">
        <x:v>84</x:v>
      </x:c>
      <x:c r="F102" s="4" t="s">
        <x:v>26</x:v>
      </x:c>
      <x:c r="G102" s="9" t="s">
        <x:v>27</x:v>
      </x:c>
    </x:row>
    <x:row r="103" ht="15" customHeight="1">
      <x:c r="A103" s="4" t="s">
        <x:v>7</x:v>
      </x:c>
      <x:c r="B103" s="5">
        <x:v>298.14999999999998</x:v>
      </x:c>
      <x:c r="C103" s="6">
        <x:v>2</x:v>
      </x:c>
      <x:c r="D103" s="7">
        <x:v>1.514</x:v>
      </x:c>
      <x:c r="E103" s="8">
        <x:v>84</x:v>
      </x:c>
      <x:c r="F103" s="4" t="s">
        <x:v>26</x:v>
      </x:c>
      <x:c r="G103" s="9" t="s">
        <x:v>27</x:v>
      </x:c>
    </x:row>
    <x:row r="104" ht="15" customHeight="1">
      <x:c r="A104" s="4" t="s">
        <x:v>7</x:v>
      </x:c>
      <x:c r="B104" s="5">
        <x:v>298.14999999999998</x:v>
      </x:c>
      <x:c r="C104" s="6">
        <x:v>2.5</x:v>
      </x:c>
      <x:c r="D104" s="7">
        <x:v>1.5289999999999999</x:v>
      </x:c>
      <x:c r="E104" s="8">
        <x:v>84</x:v>
      </x:c>
      <x:c r="F104" s="4" t="s">
        <x:v>26</x:v>
      </x:c>
      <x:c r="G104" s="9" t="s">
        <x:v>27</x:v>
      </x:c>
    </x:row>
    <x:row r="105" ht="15" customHeight="1">
      <x:c r="A105" s="4" t="s">
        <x:v>7</x:v>
      </x:c>
      <x:c r="B105" s="5">
        <x:v>298.14999999999998</x:v>
      </x:c>
      <x:c r="C105" s="6">
        <x:v>3</x:v>
      </x:c>
      <x:c r="D105" s="7">
        <x:v>1.544</x:v>
      </x:c>
      <x:c r="E105" s="8">
        <x:v>84</x:v>
      </x:c>
      <x:c r="F105" s="4" t="s">
        <x:v>26</x:v>
      </x:c>
      <x:c r="G105" s="9" t="s">
        <x:v>27</x:v>
      </x:c>
    </x:row>
    <x:row r="106" ht="15" customHeight="1">
      <x:c r="A106" s="4" t="s">
        <x:v>7</x:v>
      </x:c>
      <x:c r="B106" s="5">
        <x:v>298.14999999999998</x:v>
      </x:c>
      <x:c r="C106" s="6">
        <x:v>3.5</x:v>
      </x:c>
      <x:c r="D106" s="7">
        <x:v>1.5589999999999999</x:v>
      </x:c>
      <x:c r="E106" s="8">
        <x:v>84</x:v>
      </x:c>
      <x:c r="F106" s="4" t="s">
        <x:v>26</x:v>
      </x:c>
      <x:c r="G106" s="9" t="s">
        <x:v>27</x:v>
      </x:c>
    </x:row>
    <x:row r="107" ht="15" customHeight="1">
      <x:c r="A107" s="4" t="s">
        <x:v>7</x:v>
      </x:c>
      <x:c r="B107" s="5">
        <x:v>298.14999999999998</x:v>
      </x:c>
      <x:c r="C107" s="6">
        <x:v>4</x:v>
      </x:c>
      <x:c r="D107" s="7">
        <x:v>1.5840000000000001</x:v>
      </x:c>
      <x:c r="E107" s="8">
        <x:v>84</x:v>
      </x:c>
      <x:c r="F107" s="4" t="s">
        <x:v>26</x:v>
      </x:c>
      <x:c r="G107" s="9" t="s">
        <x:v>27</x:v>
      </x:c>
    </x:row>
    <x:row r="108" ht="15" customHeight="1">
      <x:c r="A108" s="4" t="s">
        <x:v>7</x:v>
      </x:c>
      <x:c r="B108" s="5">
        <x:v>298.14999999999998</x:v>
      </x:c>
      <x:c r="C108" s="6">
        <x:v>0.1</x:v>
      </x:c>
      <x:c r="D108" s="7">
        <x:v>1.3460000000000001</x:v>
      </x:c>
      <x:c r="E108" s="8">
        <x:v>86</x:v>
      </x:c>
      <x:c r="F108" s="4" t="s">
        <x:v>28</x:v>
      </x:c>
      <x:c r="G108" s="9" t="s">
        <x:v>29</x:v>
      </x:c>
    </x:row>
    <x:row r="109" ht="15" customHeight="1">
      <x:c r="A109" s="4" t="s">
        <x:v>7</x:v>
      </x:c>
      <x:c r="B109" s="5">
        <x:v>298.14999999999998</x:v>
      </x:c>
      <x:c r="C109" s="6">
        <x:v>0.5</x:v>
      </x:c>
      <x:c r="D109" s="7">
        <x:v>1.3120000000000001</x:v>
      </x:c>
      <x:c r="E109" s="8">
        <x:v>86</x:v>
      </x:c>
      <x:c r="F109" s="4" t="s">
        <x:v>28</x:v>
      </x:c>
      <x:c r="G109" s="9" t="s">
        <x:v>29</x:v>
      </x:c>
    </x:row>
    <x:row r="110" ht="15" customHeight="1">
      <x:c r="A110" s="4" t="s">
        <x:v>7</x:v>
      </x:c>
      <x:c r="B110" s="5">
        <x:v>298.14999999999998</x:v>
      </x:c>
      <x:c r="C110" s="6">
        <x:v>1</x:v>
      </x:c>
      <x:c r="D110" s="7">
        <x:v>1.3220000000000001</x:v>
      </x:c>
      <x:c r="E110" s="8">
        <x:v>86</x:v>
      </x:c>
      <x:c r="F110" s="4" t="s">
        <x:v>28</x:v>
      </x:c>
      <x:c r="G110" s="9" t="s">
        <x:v>29</x:v>
      </x:c>
    </x:row>
    <x:row r="111" ht="15" customHeight="1">
      <x:c r="A111" s="4" t="s">
        <x:v>7</x:v>
      </x:c>
      <x:c r="B111" s="5">
        <x:v>273.14999999999998</x:v>
      </x:c>
      <x:c r="C111" s="6">
        <x:v>7.6799999999999993E-2</x:v>
      </x:c>
      <x:c r="D111" s="7">
        <x:v>0.72499999999999998</x:v>
      </x:c>
      <x:c r="E111" s="8">
        <x:v>88</x:v>
      </x:c>
      <x:c r="F111" s="4" t="s">
        <x:v>30</x:v>
      </x:c>
      <x:c r="G111" s="9" t="s">
        <x:v>31</x:v>
      </x:c>
    </x:row>
    <x:row r="112" ht="15" customHeight="1">
      <x:c r="A112" s="4" t="s">
        <x:v>7</x:v>
      </x:c>
      <x:c r="B112" s="5">
        <x:v>273.14999999999998</x:v>
      </x:c>
      <x:c r="C112" s="6">
        <x:v>0.14960000000000001</x:v>
      </x:c>
      <x:c r="D112" s="7">
        <x:v>0.71</x:v>
      </x:c>
      <x:c r="E112" s="8">
        <x:v>88</x:v>
      </x:c>
      <x:c r="F112" s="4" t="s">
        <x:v>30</x:v>
      </x:c>
      <x:c r="G112" s="9" t="s">
        <x:v>31</x:v>
      </x:c>
    </x:row>
    <x:row r="113" ht="15" customHeight="1">
      <x:c r="A113" s="4" t="s">
        <x:v>7</x:v>
      </x:c>
      <x:c r="B113" s="5">
        <x:v>273.14999999999998</x:v>
      </x:c>
      <x:c r="C113" s="6">
        <x:v>0.19919999999999999</x:v>
      </x:c>
      <x:c r="D113" s="7">
        <x:v>0.70699999999999996</x:v>
      </x:c>
      <x:c r="E113" s="8">
        <x:v>88</x:v>
      </x:c>
      <x:c r="F113" s="4" t="s">
        <x:v>30</x:v>
      </x:c>
      <x:c r="G113" s="9" t="s">
        <x:v>31</x:v>
      </x:c>
    </x:row>
    <x:row r="114" ht="15" customHeight="1">
      <x:c r="A114" s="4" t="s">
        <x:v>7</x:v>
      </x:c>
      <x:c r="B114" s="5">
        <x:v>273.14999999999998</x:v>
      </x:c>
      <x:c r="C114" s="6">
        <x:v>0.2492</x:v>
      </x:c>
      <x:c r="D114" s="7">
        <x:v>0.69899999999999995</x:v>
      </x:c>
      <x:c r="E114" s="8">
        <x:v>88</x:v>
      </x:c>
      <x:c r="F114" s="4" t="s">
        <x:v>30</x:v>
      </x:c>
      <x:c r="G114" s="9" t="s">
        <x:v>31</x:v>
      </x:c>
    </x:row>
    <x:row r="115" ht="15" customHeight="1">
      <x:c r="A115" s="4" t="s">
        <x:v>7</x:v>
      </x:c>
      <x:c r="B115" s="5">
        <x:v>273.14999999999998</x:v>
      </x:c>
      <x:c r="C115" s="6">
        <x:v>0.29559999999999997</x:v>
      </x:c>
      <x:c r="D115" s="7">
        <x:v>0.69699999999999995</x:v>
      </x:c>
      <x:c r="E115" s="8">
        <x:v>88</x:v>
      </x:c>
      <x:c r="F115" s="4" t="s">
        <x:v>30</x:v>
      </x:c>
      <x:c r="G115" s="9" t="s">
        <x:v>31</x:v>
      </x:c>
    </x:row>
    <x:row r="116" ht="15" customHeight="1">
      <x:c r="A116" s="4" t="s">
        <x:v>7</x:v>
      </x:c>
      <x:c r="B116" s="5">
        <x:v>273.14999999999998</x:v>
      </x:c>
      <x:c r="C116" s="6">
        <x:v>0.39750000000000002</x:v>
      </x:c>
      <x:c r="D116" s="7">
        <x:v>0.69799999999999995</x:v>
      </x:c>
      <x:c r="E116" s="8">
        <x:v>88</x:v>
      </x:c>
      <x:c r="F116" s="4" t="s">
        <x:v>30</x:v>
      </x:c>
      <x:c r="G116" s="9" t="s">
        <x:v>31</x:v>
      </x:c>
    </x:row>
    <x:row r="117" ht="15" customHeight="1">
      <x:c r="A117" s="4" t="s">
        <x:v>7</x:v>
      </x:c>
      <x:c r="B117" s="5">
        <x:v>273.14999999999998</x:v>
      </x:c>
      <x:c r="C117" s="6">
        <x:v>0.59430000000000005</x:v>
      </x:c>
      <x:c r="D117" s="7">
        <x:v>0.69899999999999995</x:v>
      </x:c>
      <x:c r="E117" s="8">
        <x:v>88</x:v>
      </x:c>
      <x:c r="F117" s="4" t="s">
        <x:v>30</x:v>
      </x:c>
      <x:c r="G117" s="9" t="s">
        <x:v>31</x:v>
      </x:c>
    </x:row>
    <x:row r="118" ht="15" customHeight="1">
      <x:c r="A118" s="4" t="s">
        <x:v>7</x:v>
      </x:c>
      <x:c r="B118" s="5">
        <x:v>273.14999999999998</x:v>
      </x:c>
      <x:c r="C118" s="6">
        <x:v>0.98429999999999995</x:v>
      </x:c>
      <x:c r="D118" s="7">
        <x:v>0.70799999999999996</x:v>
      </x:c>
      <x:c r="E118" s="8">
        <x:v>88</x:v>
      </x:c>
      <x:c r="F118" s="4" t="s">
        <x:v>30</x:v>
      </x:c>
      <x:c r="G118" s="9" t="s">
        <x:v>31</x:v>
      </x:c>
    </x:row>
    <x:row r="119" ht="15" customHeight="1">
      <x:c r="A119" s="4" t="s">
        <x:v>7</x:v>
      </x:c>
      <x:c r="B119" s="5">
        <x:v>273.14999999999998</x:v>
      </x:c>
      <x:c r="C119" s="6">
        <x:v>1.4636</x:v>
      </x:c>
      <x:c r="D119" s="7">
        <x:v>0.72099999999999997</x:v>
      </x:c>
      <x:c r="E119" s="8">
        <x:v>88</x:v>
      </x:c>
      <x:c r="F119" s="4" t="s">
        <x:v>30</x:v>
      </x:c>
      <x:c r="G119" s="9" t="s">
        <x:v>31</x:v>
      </x:c>
    </x:row>
    <x:row r="120" ht="15" customHeight="1">
      <x:c r="A120" s="4" t="s">
        <x:v>7</x:v>
      </x:c>
      <x:c r="B120" s="5">
        <x:v>273.14999999999998</x:v>
      </x:c>
      <x:c r="C120" s="6">
        <x:v>1.9337</x:v>
      </x:c>
      <x:c r="D120" s="7">
        <x:v>0.73399999999999999</x:v>
      </x:c>
      <x:c r="E120" s="8">
        <x:v>88</x:v>
      </x:c>
      <x:c r="F120" s="4" t="s">
        <x:v>30</x:v>
      </x:c>
      <x:c r="G120" s="9" t="s">
        <x:v>31</x:v>
      </x:c>
    </x:row>
    <x:row r="121" ht="15" customHeight="1">
      <x:c r="A121" s="4" t="s">
        <x:v>7</x:v>
      </x:c>
      <x:c r="B121" s="5">
        <x:v>273.14999999999998</x:v>
      </x:c>
      <x:c r="C121" s="6">
        <x:v>1.9346000000000001</x:v>
      </x:c>
      <x:c r="D121" s="7">
        <x:v>0.73399999999999999</x:v>
      </x:c>
      <x:c r="E121" s="8">
        <x:v>88</x:v>
      </x:c>
      <x:c r="F121" s="4" t="s">
        <x:v>30</x:v>
      </x:c>
      <x:c r="G121" s="9" t="s">
        <x:v>31</x:v>
      </x:c>
    </x:row>
    <x:row r="122" ht="15" customHeight="1">
      <x:c r="A122" s="4" t="s">
        <x:v>7</x:v>
      </x:c>
      <x:c r="B122" s="5">
        <x:v>273.14999999999998</x:v>
      </x:c>
      <x:c r="C122" s="6">
        <x:v>2.3952</x:v>
      </x:c>
      <x:c r="D122" s="7">
        <x:v>0.74299999999999999</x:v>
      </x:c>
      <x:c r="E122" s="8">
        <x:v>88</x:v>
      </x:c>
      <x:c r="F122" s="4" t="s">
        <x:v>30</x:v>
      </x:c>
      <x:c r="G122" s="9" t="s">
        <x:v>31</x:v>
      </x:c>
    </x:row>
    <x:row r="123" ht="15" customHeight="1">
      <x:c r="A123" s="4" t="s">
        <x:v>7</x:v>
      </x:c>
      <x:c r="B123" s="5">
        <x:v>273.14999999999998</x:v>
      </x:c>
      <x:c r="C123" s="6">
        <x:v>2.8472</x:v>
      </x:c>
      <x:c r="D123" s="7">
        <x:v>0.75600000000000001</x:v>
      </x:c>
      <x:c r="E123" s="8">
        <x:v>88</x:v>
      </x:c>
      <x:c r="F123" s="4" t="s">
        <x:v>30</x:v>
      </x:c>
      <x:c r="G123" s="9" t="s">
        <x:v>31</x:v>
      </x:c>
    </x:row>
    <x:row r="124" ht="15" customHeight="1">
      <x:c r="A124" s="4" t="s">
        <x:v>7</x:v>
      </x:c>
      <x:c r="B124" s="5">
        <x:v>273.14999999999998</x:v>
      </x:c>
      <x:c r="C124" s="6">
        <x:v>3.7214999999999998</x:v>
      </x:c>
      <x:c r="D124" s="7">
        <x:v>0.78</x:v>
      </x:c>
      <x:c r="E124" s="8">
        <x:v>88</x:v>
      </x:c>
      <x:c r="F124" s="4" t="s">
        <x:v>30</x:v>
      </x:c>
      <x:c r="G124" s="9" t="s">
        <x:v>31</x:v>
      </x:c>
    </x:row>
    <x:row r="125" ht="15" customHeight="1">
      <x:c r="A125" s="4" t="s">
        <x:v>7</x:v>
      </x:c>
      <x:c r="B125" s="5">
        <x:v>291.14999999999998</x:v>
      </x:c>
      <x:c r="C125" s="6">
        <x:v>6.9800000000000001E-2</x:v>
      </x:c>
      <x:c r="D125" s="7">
        <x:v>1.248</x:v>
      </x:c>
      <x:c r="E125" s="8">
        <x:v>88</x:v>
      </x:c>
      <x:c r="F125" s="4" t="s">
        <x:v>30</x:v>
      </x:c>
      <x:c r="G125" s="9" t="s">
        <x:v>31</x:v>
      </x:c>
    </x:row>
    <x:row r="126" ht="15" customHeight="1">
      <x:c r="A126" s="4" t="s">
        <x:v>7</x:v>
      </x:c>
      <x:c r="B126" s="5">
        <x:v>291.14999999999998</x:v>
      </x:c>
      <x:c r="C126" s="6">
        <x:v>9.9699999999999997E-2</x:v>
      </x:c>
      <x:c r="D126" s="7">
        <x:v>1.2410000000000001</x:v>
      </x:c>
      <x:c r="E126" s="8">
        <x:v>88</x:v>
      </x:c>
      <x:c r="F126" s="4" t="s">
        <x:v>30</x:v>
      </x:c>
      <x:c r="G126" s="9" t="s">
        <x:v>31</x:v>
      </x:c>
    </x:row>
    <x:row r="127" ht="15" customHeight="1">
      <x:c r="A127" s="4" t="s">
        <x:v>7</x:v>
      </x:c>
      <x:c r="B127" s="5">
        <x:v>291.14999999999998</x:v>
      </x:c>
      <x:c r="C127" s="6">
        <x:v>0.1986</x:v>
      </x:c>
      <x:c r="D127" s="7">
        <x:v>1.228</x:v>
      </x:c>
      <x:c r="E127" s="8">
        <x:v>88</x:v>
      </x:c>
      <x:c r="F127" s="4" t="s">
        <x:v>30</x:v>
      </x:c>
      <x:c r="G127" s="9" t="s">
        <x:v>31</x:v>
      </x:c>
    </x:row>
    <x:row r="128" ht="15" customHeight="1">
      <x:c r="A128" s="4" t="s">
        <x:v>7</x:v>
      </x:c>
      <x:c r="B128" s="5">
        <x:v>291.14999999999998</x:v>
      </x:c>
      <x:c r="C128" s="6">
        <x:v>0.29780000000000001</x:v>
      </x:c>
      <x:c r="D128" s="7">
        <x:v>1.224</x:v>
      </x:c>
      <x:c r="E128" s="8">
        <x:v>88</x:v>
      </x:c>
      <x:c r="F128" s="4" t="s">
        <x:v>30</x:v>
      </x:c>
      <x:c r="G128" s="9" t="s">
        <x:v>31</x:v>
      </x:c>
    </x:row>
    <x:row r="129" ht="15" customHeight="1">
      <x:c r="A129" s="4" t="s">
        <x:v>7</x:v>
      </x:c>
      <x:c r="B129" s="5">
        <x:v>291.14999999999998</x:v>
      </x:c>
      <x:c r="C129" s="6">
        <x:v>0.39689999999999998</x:v>
      </x:c>
      <x:c r="D129" s="7">
        <x:v>1.226</x:v>
      </x:c>
      <x:c r="E129" s="8">
        <x:v>88</x:v>
      </x:c>
      <x:c r="F129" s="4" t="s">
        <x:v>30</x:v>
      </x:c>
      <x:c r="G129" s="9" t="s">
        <x:v>31</x:v>
      </x:c>
    </x:row>
    <x:row r="130" ht="15" customHeight="1">
      <x:c r="A130" s="4" t="s">
        <x:v>7</x:v>
      </x:c>
      <x:c r="B130" s="5">
        <x:v>291.14999999999998</x:v>
      </x:c>
      <x:c r="C130" s="6">
        <x:v>0.59079999999999999</x:v>
      </x:c>
      <x:c r="D130" s="7">
        <x:v>1.2270000000000001</x:v>
      </x:c>
      <x:c r="E130" s="8">
        <x:v>88</x:v>
      </x:c>
      <x:c r="F130" s="4" t="s">
        <x:v>30</x:v>
      </x:c>
      <x:c r="G130" s="9" t="s">
        <x:v>31</x:v>
      </x:c>
    </x:row>
    <x:row r="131" ht="15" customHeight="1">
      <x:c r="A131" s="4" t="s">
        <x:v>7</x:v>
      </x:c>
      <x:c r="B131" s="5">
        <x:v>291.14999999999998</x:v>
      </x:c>
      <x:c r="C131" s="6">
        <x:v>0.78720000000000001</x:v>
      </x:c>
      <x:c r="D131" s="7">
        <x:v>1.23</x:v>
      </x:c>
      <x:c r="E131" s="8">
        <x:v>88</x:v>
      </x:c>
      <x:c r="F131" s="4" t="s">
        <x:v>30</x:v>
      </x:c>
      <x:c r="G131" s="9" t="s">
        <x:v>31</x:v>
      </x:c>
    </x:row>
    <x:row r="132" ht="15" customHeight="1">
      <x:c r="A132" s="4" t="s">
        <x:v>7</x:v>
      </x:c>
      <x:c r="B132" s="5">
        <x:v>291.14999999999998</x:v>
      </x:c>
      <x:c r="C132" s="6">
        <x:v>0.78749999999999998</x:v>
      </x:c>
      <x:c r="D132" s="7">
        <x:v>1.23</x:v>
      </x:c>
      <x:c r="E132" s="8">
        <x:v>88</x:v>
      </x:c>
      <x:c r="F132" s="4" t="s">
        <x:v>30</x:v>
      </x:c>
      <x:c r="G132" s="9" t="s">
        <x:v>31</x:v>
      </x:c>
    </x:row>
    <x:row r="133" ht="15" customHeight="1">
      <x:c r="A133" s="4" t="s">
        <x:v>7</x:v>
      </x:c>
      <x:c r="B133" s="5">
        <x:v>291.14999999999998</x:v>
      </x:c>
      <x:c r="C133" s="6">
        <x:v>0.98099999999999998</x:v>
      </x:c>
      <x:c r="D133" s="7">
        <x:v>1.232</x:v>
      </x:c>
      <x:c r="E133" s="8">
        <x:v>88</x:v>
      </x:c>
      <x:c r="F133" s="4" t="s">
        <x:v>30</x:v>
      </x:c>
      <x:c r="G133" s="9" t="s">
        <x:v>31</x:v>
      </x:c>
    </x:row>
    <x:row r="134" ht="15" customHeight="1">
      <x:c r="A134" s="4" t="s">
        <x:v>7</x:v>
      </x:c>
      <x:c r="B134" s="5">
        <x:v>291.14999999999998</x:v>
      </x:c>
      <x:c r="C134" s="6">
        <x:v>1.1726000000000001</x:v>
      </x:c>
      <x:c r="D134" s="7">
        <x:v>1.238</x:v>
      </x:c>
      <x:c r="E134" s="8">
        <x:v>88</x:v>
      </x:c>
      <x:c r="F134" s="4" t="s">
        <x:v>30</x:v>
      </x:c>
      <x:c r="G134" s="9" t="s">
        <x:v>31</x:v>
      </x:c>
    </x:row>
    <x:row r="135" ht="15" customHeight="1">
      <x:c r="A135" s="4" t="s">
        <x:v>7</x:v>
      </x:c>
      <x:c r="B135" s="5">
        <x:v>291.14999999999998</x:v>
      </x:c>
      <x:c r="C135" s="6">
        <x:v>1.4577</x:v>
      </x:c>
      <x:c r="D135" s="7">
        <x:v>1.2450000000000001</x:v>
      </x:c>
      <x:c r="E135" s="8">
        <x:v>88</x:v>
      </x:c>
      <x:c r="F135" s="4" t="s">
        <x:v>30</x:v>
      </x:c>
      <x:c r="G135" s="9" t="s">
        <x:v>31</x:v>
      </x:c>
    </x:row>
    <x:row r="136" ht="15" customHeight="1">
      <x:c r="A136" s="4" t="s">
        <x:v>7</x:v>
      </x:c>
      <x:c r="B136" s="5">
        <x:v>291.14999999999998</x:v>
      </x:c>
      <x:c r="C136" s="6">
        <x:v>1.9206000000000001</x:v>
      </x:c>
      <x:c r="D136" s="7">
        <x:v>1.262</x:v>
      </x:c>
      <x:c r="E136" s="8">
        <x:v>88</x:v>
      </x:c>
      <x:c r="F136" s="4" t="s">
        <x:v>30</x:v>
      </x:c>
      <x:c r="G136" s="9" t="s">
        <x:v>31</x:v>
      </x:c>
    </x:row>
    <x:row r="137" ht="15" customHeight="1">
      <x:c r="A137" s="4" t="s">
        <x:v>7</x:v>
      </x:c>
      <x:c r="B137" s="5">
        <x:v>291.14999999999998</x:v>
      </x:c>
      <x:c r="C137" s="6">
        <x:v>2.3822000000000001</x:v>
      </x:c>
      <x:c r="D137" s="7">
        <x:v>1.276</x:v>
      </x:c>
      <x:c r="E137" s="8">
        <x:v>88</x:v>
      </x:c>
      <x:c r="F137" s="4" t="s">
        <x:v>30</x:v>
      </x:c>
      <x:c r="G137" s="9" t="s">
        <x:v>31</x:v>
      </x:c>
    </x:row>
    <x:row r="138" ht="15" customHeight="1">
      <x:c r="A138" s="4" t="s">
        <x:v>7</x:v>
      </x:c>
      <x:c r="B138" s="5">
        <x:v>291.14999999999998</x:v>
      </x:c>
      <x:c r="C138" s="6">
        <x:v>2.8298999999999999</x:v>
      </x:c>
      <x:c r="D138" s="7">
        <x:v>1.2909999999999999</x:v>
      </x:c>
      <x:c r="E138" s="8">
        <x:v>88</x:v>
      </x:c>
      <x:c r="F138" s="4" t="s">
        <x:v>30</x:v>
      </x:c>
      <x:c r="G138" s="9" t="s">
        <x:v>31</x:v>
      </x:c>
    </x:row>
    <x:row r="139" ht="15" customHeight="1">
      <x:c r="A139" s="4" t="s">
        <x:v>7</x:v>
      </x:c>
      <x:c r="B139" s="5">
        <x:v>291.14999999999998</x:v>
      </x:c>
      <x:c r="C139" s="6">
        <x:v>3.2664</x:v>
      </x:c>
      <x:c r="D139" s="7">
        <x:v>1.3045</x:v>
      </x:c>
      <x:c r="E139" s="8">
        <x:v>88</x:v>
      </x:c>
      <x:c r="F139" s="4" t="s">
        <x:v>30</x:v>
      </x:c>
      <x:c r="G139" s="9" t="s">
        <x:v>31</x:v>
      </x:c>
    </x:row>
    <x:row r="140" ht="15" customHeight="1">
      <x:c r="A140" s="4" t="s">
        <x:v>7</x:v>
      </x:c>
      <x:c r="B140" s="5">
        <x:v>291.14999999999998</x:v>
      </x:c>
      <x:c r="C140" s="6">
        <x:v>3.6974999999999998</x:v>
      </x:c>
      <x:c r="D140" s="7">
        <x:v>1.3180000000000001</x:v>
      </x:c>
      <x:c r="E140" s="8">
        <x:v>88</x:v>
      </x:c>
      <x:c r="F140" s="4" t="s">
        <x:v>30</x:v>
      </x:c>
      <x:c r="G140" s="9" t="s">
        <x:v>31</x:v>
      </x:c>
    </x:row>
    <x:row r="141" ht="15" customHeight="1">
      <x:c r="A141" s="4" t="s">
        <x:v>7</x:v>
      </x:c>
      <x:c r="B141" s="5">
        <x:v>291.14999999999998</x:v>
      </x:c>
      <x:c r="C141" s="6">
        <x:v>4.1158999999999999</x:v>
      </x:c>
      <x:c r="D141" s="7">
        <x:v>1.325</x:v>
      </x:c>
      <x:c r="E141" s="8">
        <x:v>88</x:v>
      </x:c>
      <x:c r="F141" s="4" t="s">
        <x:v>30</x:v>
      </x:c>
      <x:c r="G141" s="9" t="s">
        <x:v>31</x:v>
      </x:c>
    </x:row>
    <x:row r="142" ht="15" customHeight="1">
      <x:c r="A142" s="4" t="s">
        <x:v>7</x:v>
      </x:c>
      <x:c r="B142" s="5">
        <x:v>291.14999999999998</x:v>
      </x:c>
      <x:c r="C142" s="6">
        <x:v>4.1163999999999996</x:v>
      </x:c>
      <x:c r="D142" s="7">
        <x:v>1.327</x:v>
      </x:c>
      <x:c r="E142" s="8">
        <x:v>88</x:v>
      </x:c>
      <x:c r="F142" s="4" t="s">
        <x:v>30</x:v>
      </x:c>
      <x:c r="G142" s="9" t="s">
        <x:v>31</x:v>
      </x:c>
    </x:row>
    <x:row r="143" ht="15" customHeight="1">
      <x:c r="A143" s="4" t="s">
        <x:v>7</x:v>
      </x:c>
      <x:c r="B143" s="5">
        <x:v>291.14999999999998</x:v>
      </x:c>
      <x:c r="C143" s="6">
        <x:v>4.6435000000000004</x:v>
      </x:c>
      <x:c r="D143" s="7">
        <x:v>1.33</x:v>
      </x:c>
      <x:c r="E143" s="8">
        <x:v>88</x:v>
      </x:c>
      <x:c r="F143" s="4" t="s">
        <x:v>30</x:v>
      </x:c>
      <x:c r="G143" s="9" t="s">
        <x:v>31</x:v>
      </x:c>
    </x:row>
    <x:row r="144" ht="15" customHeight="1">
      <x:c r="A144" s="4" t="s">
        <x:v>7</x:v>
      </x:c>
      <x:c r="B144" s="5">
        <x:v>291.14999999999998</x:v>
      </x:c>
      <x:c r="C144" s="6">
        <x:v>4.9584999999999999</x:v>
      </x:c>
      <x:c r="D144" s="7">
        <x:v>1.325</x:v>
      </x:c>
      <x:c r="E144" s="8">
        <x:v>88</x:v>
      </x:c>
      <x:c r="F144" s="4" t="s">
        <x:v>30</x:v>
      </x:c>
      <x:c r="G144" s="9" t="s">
        <x:v>31</x:v>
      </x:c>
    </x:row>
    <x:row r="145" ht="15" customHeight="1">
      <x:c r="A145" s="4" t="s">
        <x:v>7</x:v>
      </x:c>
      <x:c r="B145" s="5">
        <x:v>308.14999999999998</x:v>
      </x:c>
      <x:c r="C145" s="6">
        <x:v>7.9200000000000007E-2</x:v>
      </x:c>
      <x:c r="D145" s="7">
        <x:v>1.8819999999999999</x:v>
      </x:c>
      <x:c r="E145" s="8">
        <x:v>88</x:v>
      </x:c>
      <x:c r="F145" s="4" t="s">
        <x:v>30</x:v>
      </x:c>
      <x:c r="G145" s="9" t="s">
        <x:v>31</x:v>
      </x:c>
    </x:row>
    <x:row r="146" ht="15" customHeight="1">
      <x:c r="A146" s="4" t="s">
        <x:v>7</x:v>
      </x:c>
      <x:c r="B146" s="5">
        <x:v>308.14999999999998</x:v>
      </x:c>
      <x:c r="C146" s="6">
        <x:v>9.9099999999999994E-2</x:v>
      </x:c>
      <x:c r="D146" s="7">
        <x:v>1.8839999999999999</x:v>
      </x:c>
      <x:c r="E146" s="8">
        <x:v>88</x:v>
      </x:c>
      <x:c r="F146" s="4" t="s">
        <x:v>30</x:v>
      </x:c>
      <x:c r="G146" s="9" t="s">
        <x:v>31</x:v>
      </x:c>
    </x:row>
    <x:row r="147" ht="15" customHeight="1">
      <x:c r="A147" s="4" t="s">
        <x:v>7</x:v>
      </x:c>
      <x:c r="B147" s="5">
        <x:v>308.14999999999998</x:v>
      </x:c>
      <x:c r="C147" s="6">
        <x:v>0.14760000000000001</x:v>
      </x:c>
      <x:c r="D147" s="7">
        <x:v>1.8720000000000001</x:v>
      </x:c>
      <x:c r="E147" s="8">
        <x:v>88</x:v>
      </x:c>
      <x:c r="F147" s="4" t="s">
        <x:v>30</x:v>
      </x:c>
      <x:c r="G147" s="9" t="s">
        <x:v>31</x:v>
      </x:c>
    </x:row>
    <x:row r="148" ht="15" customHeight="1">
      <x:c r="A148" s="4" t="s">
        <x:v>7</x:v>
      </x:c>
      <x:c r="B148" s="5">
        <x:v>308.14999999999998</x:v>
      </x:c>
      <x:c r="C148" s="6">
        <x:v>0.18690000000000001</x:v>
      </x:c>
      <x:c r="D148" s="7">
        <x:v>1.863</x:v>
      </x:c>
      <x:c r="E148" s="8">
        <x:v>88</x:v>
      </x:c>
      <x:c r="F148" s="4" t="s">
        <x:v>30</x:v>
      </x:c>
      <x:c r="G148" s="9" t="s">
        <x:v>31</x:v>
      </x:c>
    </x:row>
    <x:row r="149" ht="15" customHeight="1">
      <x:c r="A149" s="4" t="s">
        <x:v>7</x:v>
      </x:c>
      <x:c r="B149" s="5">
        <x:v>308.14999999999998</x:v>
      </x:c>
      <x:c r="C149" s="6">
        <x:v>0.19769999999999999</x:v>
      </x:c>
      <x:c r="D149" s="7">
        <x:v>1.865</x:v>
      </x:c>
      <x:c r="E149" s="8">
        <x:v>88</x:v>
      </x:c>
      <x:c r="F149" s="4" t="s">
        <x:v>30</x:v>
      </x:c>
      <x:c r="G149" s="9" t="s">
        <x:v>31</x:v>
      </x:c>
    </x:row>
    <x:row r="150" ht="15" customHeight="1">
      <x:c r="A150" s="4" t="s">
        <x:v>7</x:v>
      </x:c>
      <x:c r="B150" s="5">
        <x:v>308.14999999999998</x:v>
      </x:c>
      <x:c r="C150" s="6">
        <x:v>0.29649999999999999</x:v>
      </x:c>
      <x:c r="D150" s="7">
        <x:v>1.857</x:v>
      </x:c>
      <x:c r="E150" s="8">
        <x:v>88</x:v>
      </x:c>
      <x:c r="F150" s="4" t="s">
        <x:v>30</x:v>
      </x:c>
      <x:c r="G150" s="9" t="s">
        <x:v>31</x:v>
      </x:c>
    </x:row>
    <x:row r="151" ht="15" customHeight="1">
      <x:c r="A151" s="4" t="s">
        <x:v>7</x:v>
      </x:c>
      <x:c r="B151" s="5">
        <x:v>308.14999999999998</x:v>
      </x:c>
      <x:c r="C151" s="6">
        <x:v>0.39460000000000001</x:v>
      </x:c>
      <x:c r="D151" s="7">
        <x:v>1.8560000000000001</x:v>
      </x:c>
      <x:c r="E151" s="8">
        <x:v>88</x:v>
      </x:c>
      <x:c r="F151" s="4" t="s">
        <x:v>30</x:v>
      </x:c>
      <x:c r="G151" s="9" t="s">
        <x:v>31</x:v>
      </x:c>
    </x:row>
    <x:row r="152" ht="15" customHeight="1">
      <x:c r="A152" s="4" t="s">
        <x:v>7</x:v>
      </x:c>
      <x:c r="B152" s="5">
        <x:v>308.14999999999998</x:v>
      </x:c>
      <x:c r="C152" s="6">
        <x:v>0.49220000000000003</x:v>
      </x:c>
      <x:c r="D152" s="7">
        <x:v>1.8580000000000001</x:v>
      </x:c>
      <x:c r="E152" s="8">
        <x:v>88</x:v>
      </x:c>
      <x:c r="F152" s="4" t="s">
        <x:v>30</x:v>
      </x:c>
      <x:c r="G152" s="9" t="s">
        <x:v>31</x:v>
      </x:c>
    </x:row>
    <x:row r="153" ht="15" customHeight="1">
      <x:c r="A153" s="4" t="s">
        <x:v>7</x:v>
      </x:c>
      <x:c r="B153" s="5">
        <x:v>308.14999999999998</x:v>
      </x:c>
      <x:c r="C153" s="6">
        <x:v>0.59419999999999995</x:v>
      </x:c>
      <x:c r="D153" s="7">
        <x:v>1.86</x:v>
      </x:c>
      <x:c r="E153" s="8">
        <x:v>88</x:v>
      </x:c>
      <x:c r="F153" s="4" t="s">
        <x:v>30</x:v>
      </x:c>
      <x:c r="G153" s="9" t="s">
        <x:v>31</x:v>
      </x:c>
    </x:row>
    <x:row r="154" ht="15" customHeight="1">
      <x:c r="A154" s="4" t="s">
        <x:v>7</x:v>
      </x:c>
      <x:c r="B154" s="5">
        <x:v>308.14999999999998</x:v>
      </x:c>
      <x:c r="C154" s="6">
        <x:v>0.97519999999999996</x:v>
      </x:c>
      <x:c r="D154" s="7">
        <x:v>1.87</x:v>
      </x:c>
      <x:c r="E154" s="8">
        <x:v>88</x:v>
      </x:c>
      <x:c r="F154" s="4" t="s">
        <x:v>30</x:v>
      </x:c>
      <x:c r="G154" s="9" t="s">
        <x:v>31</x:v>
      </x:c>
    </x:row>
    <x:row r="155" ht="15" customHeight="1">
      <x:c r="A155" s="4" t="s">
        <x:v>7</x:v>
      </x:c>
      <x:c r="B155" s="5">
        <x:v>308.14999999999998</x:v>
      </x:c>
      <x:c r="C155" s="6">
        <x:v>1.4482999999999999</x:v>
      </x:c>
      <x:c r="D155" s="7">
        <x:v>1.891</x:v>
      </x:c>
      <x:c r="E155" s="8">
        <x:v>88</x:v>
      </x:c>
      <x:c r="F155" s="4" t="s">
        <x:v>30</x:v>
      </x:c>
      <x:c r="G155" s="9" t="s">
        <x:v>31</x:v>
      </x:c>
    </x:row>
    <x:row r="156" ht="15" customHeight="1">
      <x:c r="A156" s="4" t="s">
        <x:v>7</x:v>
      </x:c>
      <x:c r="B156" s="5">
        <x:v>308.14999999999998</x:v>
      </x:c>
      <x:c r="C156" s="6">
        <x:v>1.9123000000000001</x:v>
      </x:c>
      <x:c r="D156" s="7">
        <x:v>1.913</x:v>
      </x:c>
      <x:c r="E156" s="8">
        <x:v>88</x:v>
      </x:c>
      <x:c r="F156" s="4" t="s">
        <x:v>30</x:v>
      </x:c>
      <x:c r="G156" s="9" t="s">
        <x:v>31</x:v>
      </x:c>
    </x:row>
    <x:row r="157" ht="15" customHeight="1">
      <x:c r="A157" s="4" t="s">
        <x:v>7</x:v>
      </x:c>
      <x:c r="B157" s="5">
        <x:v>308.14999999999998</x:v>
      </x:c>
      <x:c r="C157" s="6">
        <x:v>2.8098999999999998</x:v>
      </x:c>
      <x:c r="D157" s="7">
        <x:v>1.958</x:v>
      </x:c>
      <x:c r="E157" s="8">
        <x:v>88</x:v>
      </x:c>
      <x:c r="F157" s="4" t="s">
        <x:v>30</x:v>
      </x:c>
      <x:c r="G157" s="9" t="s">
        <x:v>31</x:v>
      </x:c>
    </x:row>
    <x:row r="158" ht="15" customHeight="1">
      <x:c r="A158" s="4" t="s">
        <x:v>7</x:v>
      </x:c>
      <x:c r="B158" s="5">
        <x:v>308.14999999999998</x:v>
      </x:c>
      <x:c r="C158" s="6">
        <x:v>3.2452000000000001</x:v>
      </x:c>
      <x:c r="D158" s="7">
        <x:v>1.976</x:v>
      </x:c>
      <x:c r="E158" s="8">
        <x:v>88</x:v>
      </x:c>
      <x:c r="F158" s="4" t="s">
        <x:v>30</x:v>
      </x:c>
      <x:c r="G158" s="9" t="s">
        <x:v>31</x:v>
      </x:c>
    </x:row>
    <x:row r="159" ht="15" customHeight="1">
      <x:c r="A159" s="4" t="s">
        <x:v>7</x:v>
      </x:c>
      <x:c r="B159" s="5">
        <x:v>308.14999999999998</x:v>
      </x:c>
      <x:c r="C159" s="6">
        <x:v>3.6785000000000001</x:v>
      </x:c>
      <x:c r="D159" s="7">
        <x:v>1.992</x:v>
      </x:c>
      <x:c r="E159" s="8">
        <x:v>88</x:v>
      </x:c>
      <x:c r="F159" s="4" t="s">
        <x:v>30</x:v>
      </x:c>
      <x:c r="G159" s="9" t="s">
        <x:v>31</x:v>
      </x:c>
    </x:row>
    <x:row r="160" ht="15" customHeight="1">
      <x:c r="A160" s="4" t="s">
        <x:v>7</x:v>
      </x:c>
      <x:c r="B160" s="5">
        <x:v>308.14999999999998</x:v>
      </x:c>
      <x:c r="C160" s="6">
        <x:v>4.0858999999999996</x:v>
      </x:c>
      <x:c r="D160" s="7">
        <x:v>1.9990000000000001</x:v>
      </x:c>
      <x:c r="E160" s="8">
        <x:v>88</x:v>
      </x:c>
      <x:c r="F160" s="4" t="s">
        <x:v>30</x:v>
      </x:c>
      <x:c r="G160" s="9" t="s">
        <x:v>31</x:v>
      </x:c>
    </x:row>
    <x:row r="161" ht="15" customHeight="1">
      <x:c r="A161" s="4" t="s">
        <x:v>7</x:v>
      </x:c>
      <x:c r="B161" s="5">
        <x:v>308.14999999999998</x:v>
      </x:c>
      <x:c r="C161" s="6">
        <x:v>4.4939</x:v>
      </x:c>
      <x:c r="D161" s="7">
        <x:v>1.9890000000000001</x:v>
      </x:c>
      <x:c r="E161" s="8">
        <x:v>88</x:v>
      </x:c>
      <x:c r="F161" s="4" t="s">
        <x:v>30</x:v>
      </x:c>
      <x:c r="G161" s="9" t="s">
        <x:v>31</x:v>
      </x:c>
    </x:row>
    <x:row r="162" ht="15" customHeight="1">
      <x:c r="A162" s="4" t="s">
        <x:v>7</x:v>
      </x:c>
      <x:c r="B162" s="5">
        <x:v>308.14999999999998</x:v>
      </x:c>
      <x:c r="C162" s="6">
        <x:v>4.9386000000000001</x:v>
      </x:c>
      <x:c r="D162" s="7">
        <x:v>1.9750000000000001</x:v>
      </x:c>
      <x:c r="E162" s="8">
        <x:v>88</x:v>
      </x:c>
      <x:c r="F162" s="4" t="s">
        <x:v>30</x:v>
      </x:c>
      <x:c r="G162" s="9" t="s">
        <x:v>31</x:v>
      </x:c>
    </x:row>
    <x:row r="163" ht="15" customHeight="1">
      <x:c r="A163" s="4" t="s">
        <x:v>7</x:v>
      </x:c>
      <x:c r="B163" s="5">
        <x:v>323.14999999999998</x:v>
      </x:c>
      <x:c r="C163" s="6">
        <x:v>0.1966</x:v>
      </x:c>
      <x:c r="D163" s="7">
        <x:v>2.532</x:v>
      </x:c>
      <x:c r="E163" s="8">
        <x:v>88</x:v>
      </x:c>
      <x:c r="F163" s="4" t="s">
        <x:v>30</x:v>
      </x:c>
      <x:c r="G163" s="9" t="s">
        <x:v>31</x:v>
      </x:c>
    </x:row>
    <x:row r="164" ht="15" customHeight="1">
      <x:c r="A164" s="4" t="s">
        <x:v>7</x:v>
      </x:c>
      <x:c r="B164" s="5">
        <x:v>323.14999999999998</x:v>
      </x:c>
      <x:c r="C164" s="6">
        <x:v>0.2944</x:v>
      </x:c>
      <x:c r="D164" s="7">
        <x:v>2.52</x:v>
      </x:c>
      <x:c r="E164" s="8">
        <x:v>88</x:v>
      </x:c>
      <x:c r="F164" s="4" t="s">
        <x:v>30</x:v>
      </x:c>
      <x:c r="G164" s="9" t="s">
        <x:v>31</x:v>
      </x:c>
    </x:row>
    <x:row r="165" ht="15" customHeight="1">
      <x:c r="A165" s="4" t="s">
        <x:v>7</x:v>
      </x:c>
      <x:c r="B165" s="5">
        <x:v>323.14999999999998</x:v>
      </x:c>
      <x:c r="C165" s="6">
        <x:v>0.41699999999999998</x:v>
      </x:c>
      <x:c r="D165" s="7">
        <x:v>2.5089999999999999</x:v>
      </x:c>
      <x:c r="E165" s="8">
        <x:v>88</x:v>
      </x:c>
      <x:c r="F165" s="4" t="s">
        <x:v>30</x:v>
      </x:c>
      <x:c r="G165" s="9" t="s">
        <x:v>31</x:v>
      </x:c>
    </x:row>
    <x:row r="166" ht="15" customHeight="1">
      <x:c r="A166" s="4" t="s">
        <x:v>7</x:v>
      </x:c>
      <x:c r="B166" s="5">
        <x:v>323.14999999999998</x:v>
      </x:c>
      <x:c r="C166" s="6">
        <x:v>0.56899999999999995</x:v>
      </x:c>
      <x:c r="D166" s="7">
        <x:v>2.5099999999999998</x:v>
      </x:c>
      <x:c r="E166" s="8">
        <x:v>88</x:v>
      </x:c>
      <x:c r="F166" s="4" t="s">
        <x:v>30</x:v>
      </x:c>
      <x:c r="G166" s="9" t="s">
        <x:v>31</x:v>
      </x:c>
    </x:row>
    <x:row r="167" ht="15" customHeight="1">
      <x:c r="A167" s="4" t="s">
        <x:v>7</x:v>
      </x:c>
      <x:c r="B167" s="5">
        <x:v>323.14999999999998</x:v>
      </x:c>
      <x:c r="C167" s="6">
        <x:v>0.60829999999999995</x:v>
      </x:c>
      <x:c r="D167" s="7">
        <x:v>2.5099999999999998</x:v>
      </x:c>
      <x:c r="E167" s="8">
        <x:v>88</x:v>
      </x:c>
      <x:c r="F167" s="4" t="s">
        <x:v>30</x:v>
      </x:c>
      <x:c r="G167" s="9" t="s">
        <x:v>31</x:v>
      </x:c>
    </x:row>
    <x:row r="168" ht="15" customHeight="1">
      <x:c r="A168" s="4" t="s">
        <x:v>7</x:v>
      </x:c>
      <x:c r="B168" s="5">
        <x:v>323.14999999999998</x:v>
      </x:c>
      <x:c r="C168" s="6">
        <x:v>0.74260000000000004</x:v>
      </x:c>
      <x:c r="D168" s="7">
        <x:v>2.5129999999999999</x:v>
      </x:c>
      <x:c r="E168" s="8">
        <x:v>88</x:v>
      </x:c>
      <x:c r="F168" s="4" t="s">
        <x:v>30</x:v>
      </x:c>
      <x:c r="G168" s="9" t="s">
        <x:v>31</x:v>
      </x:c>
    </x:row>
    <x:row r="169" ht="15" customHeight="1">
      <x:c r="A169" s="4" t="s">
        <x:v>7</x:v>
      </x:c>
      <x:c r="B169" s="5">
        <x:v>323.14999999999998</x:v>
      </x:c>
      <x:c r="C169" s="6">
        <x:v>0.96899999999999997</x:v>
      </x:c>
      <x:c r="D169" s="7">
        <x:v>2.52</x:v>
      </x:c>
      <x:c r="E169" s="8">
        <x:v>88</x:v>
      </x:c>
      <x:c r="F169" s="4" t="s">
        <x:v>30</x:v>
      </x:c>
      <x:c r="G169" s="9" t="s">
        <x:v>31</x:v>
      </x:c>
    </x:row>
    <x:row r="170" ht="15" customHeight="1">
      <x:c r="A170" s="4" t="s">
        <x:v>7</x:v>
      </x:c>
      <x:c r="B170" s="5">
        <x:v>323.14999999999998</x:v>
      </x:c>
      <x:c r="C170" s="6">
        <x:v>1.4393</x:v>
      </x:c>
      <x:c r="D170" s="7">
        <x:v>2.5430000000000001</x:v>
      </x:c>
      <x:c r="E170" s="8">
        <x:v>88</x:v>
      </x:c>
      <x:c r="F170" s="4" t="s">
        <x:v>30</x:v>
      </x:c>
      <x:c r="G170" s="9" t="s">
        <x:v>31</x:v>
      </x:c>
    </x:row>
    <x:row r="171" ht="15" customHeight="1">
      <x:c r="A171" s="4" t="s">
        <x:v>7</x:v>
      </x:c>
      <x:c r="B171" s="5">
        <x:v>323.14999999999998</x:v>
      </x:c>
      <x:c r="C171" s="6">
        <x:v>1.8991</x:v>
      </x:c>
      <x:c r="D171" s="7">
        <x:v>2.5649999999999999</x:v>
      </x:c>
      <x:c r="E171" s="8">
        <x:v>88</x:v>
      </x:c>
      <x:c r="F171" s="4" t="s">
        <x:v>30</x:v>
      </x:c>
      <x:c r="G171" s="9" t="s">
        <x:v>31</x:v>
      </x:c>
    </x:row>
    <x:row r="172" ht="15" customHeight="1">
      <x:c r="A172" s="4" t="s">
        <x:v>7</x:v>
      </x:c>
      <x:c r="B172" s="5">
        <x:v>323.14999999999998</x:v>
      </x:c>
      <x:c r="C172" s="6">
        <x:v>2.3504999999999998</x:v>
      </x:c>
      <x:c r="D172" s="7">
        <x:v>2.5870000000000002</x:v>
      </x:c>
      <x:c r="E172" s="8">
        <x:v>88</x:v>
      </x:c>
      <x:c r="F172" s="4" t="s">
        <x:v>30</x:v>
      </x:c>
      <x:c r="G172" s="9" t="s">
        <x:v>31</x:v>
      </x:c>
    </x:row>
    <x:row r="173" ht="15" customHeight="1">
      <x:c r="A173" s="4" t="s">
        <x:v>7</x:v>
      </x:c>
      <x:c r="B173" s="5">
        <x:v>323.14999999999998</x:v>
      </x:c>
      <x:c r="C173" s="6">
        <x:v>2.7911999999999999</x:v>
      </x:c>
      <x:c r="D173" s="7">
        <x:v>2.61</x:v>
      </x:c>
      <x:c r="E173" s="8">
        <x:v>88</x:v>
      </x:c>
      <x:c r="F173" s="4" t="s">
        <x:v>30</x:v>
      </x:c>
      <x:c r="G173" s="9" t="s">
        <x:v>31</x:v>
      </x:c>
    </x:row>
    <x:row r="174" ht="15" customHeight="1">
      <x:c r="A174" s="4" t="s">
        <x:v>7</x:v>
      </x:c>
      <x:c r="B174" s="5">
        <x:v>323.14999999999998</x:v>
      </x:c>
      <x:c r="C174" s="6">
        <x:v>3.1568999999999998</x:v>
      </x:c>
      <x:c r="D174" s="7">
        <x:v>2.6309999999999998</x:v>
      </x:c>
      <x:c r="E174" s="8">
        <x:v>88</x:v>
      </x:c>
      <x:c r="F174" s="4" t="s">
        <x:v>30</x:v>
      </x:c>
      <x:c r="G174" s="9" t="s">
        <x:v>31</x:v>
      </x:c>
    </x:row>
    <x:row r="175" ht="15" customHeight="1">
      <x:c r="A175" s="4" t="s">
        <x:v>7</x:v>
      </x:c>
      <x:c r="B175" s="5">
        <x:v>323.14999999999998</x:v>
      </x:c>
      <x:c r="C175" s="6">
        <x:v>3.6488</x:v>
      </x:c>
      <x:c r="D175" s="7">
        <x:v>2.6589999999999998</x:v>
      </x:c>
      <x:c r="E175" s="8">
        <x:v>88</x:v>
      </x:c>
      <x:c r="F175" s="4" t="s">
        <x:v>30</x:v>
      </x:c>
      <x:c r="G175" s="9" t="s">
        <x:v>31</x:v>
      </x:c>
    </x:row>
    <x:row r="176" ht="15" customHeight="1">
      <x:c r="A176" s="4" t="s">
        <x:v>7</x:v>
      </x:c>
      <x:c r="B176" s="5">
        <x:v>323.14999999999998</x:v>
      </x:c>
      <x:c r="C176" s="6">
        <x:v>3.6663000000000001</x:v>
      </x:c>
      <x:c r="D176" s="7">
        <x:v>2.661</x:v>
      </x:c>
      <x:c r="E176" s="8">
        <x:v>88</x:v>
      </x:c>
      <x:c r="F176" s="4" t="s">
        <x:v>30</x:v>
      </x:c>
      <x:c r="G176" s="9" t="s">
        <x:v>31</x:v>
      </x:c>
    </x:row>
    <x:row r="177" ht="15" customHeight="1">
      <x:c r="A177" s="4" t="s">
        <x:v>7</x:v>
      </x:c>
      <x:c r="B177" s="5">
        <x:v>323.14999999999998</x:v>
      </x:c>
      <x:c r="C177" s="6">
        <x:v>4.0574000000000003</x:v>
      </x:c>
      <x:c r="D177" s="7">
        <x:v>2.66</x:v>
      </x:c>
      <x:c r="E177" s="8">
        <x:v>88</x:v>
      </x:c>
      <x:c r="F177" s="4" t="s">
        <x:v>30</x:v>
      </x:c>
      <x:c r="G177" s="9" t="s">
        <x:v>31</x:v>
      </x:c>
    </x:row>
    <x:row r="178" ht="15" customHeight="1">
      <x:c r="A178" s="4" t="s">
        <x:v>7</x:v>
      </x:c>
      <x:c r="B178" s="5">
        <x:v>323.14999999999998</x:v>
      </x:c>
      <x:c r="C178" s="6">
        <x:v>4.8600000000000003</x:v>
      </x:c>
      <x:c r="D178" s="7">
        <x:v>2.6459999999999999</x:v>
      </x:c>
      <x:c r="E178" s="8">
        <x:v>88</x:v>
      </x:c>
      <x:c r="F178" s="4" t="s">
        <x:v>30</x:v>
      </x:c>
      <x:c r="G178" s="9" t="s">
        <x:v>31</x:v>
      </x:c>
    </x:row>
    <x:row r="179" ht="15" customHeight="1">
      <x:c r="A179" s="4" t="s">
        <x:v>7</x:v>
      </x:c>
      <x:c r="B179" s="5">
        <x:v>323.14999999999998</x:v>
      </x:c>
      <x:c r="C179" s="6">
        <x:v>4.8604000000000003</x:v>
      </x:c>
      <x:c r="D179" s="7">
        <x:v>2.6440000000000001</x:v>
      </x:c>
      <x:c r="E179" s="8">
        <x:v>88</x:v>
      </x:c>
      <x:c r="F179" s="4" t="s">
        <x:v>30</x:v>
      </x:c>
      <x:c r="G179" s="9" t="s">
        <x:v>31</x:v>
      </x:c>
    </x:row>
    <x:row r="180" ht="26.399999618530273" customHeight="1">
      <x:c r="A180" s="4" t="s">
        <x:v>7</x:v>
      </x:c>
      <x:c r="B180" s="5">
        <x:v>298.14999999999998</x:v>
      </x:c>
      <x:c r="C180" s="6">
        <x:v>0</x:v>
      </x:c>
      <x:c r="D180" s="7">
        <x:v>1.6104000000000001</x:v>
      </x:c>
      <x:c r="E180" s="8"/>
      <x:c r="F180" s="4" t="s">
        <x:v>32</x:v>
      </x:c>
      <x:c r="G180" s="9" t="s">
        <x:v>33</x:v>
      </x:c>
    </x:row>
    <x:row r="181" ht="39.5" customHeight="1">
      <x:c r="A181" s="4" t="s">
        <x:v>7</x:v>
      </x:c>
      <x:c r="B181" s="5">
        <x:v>298.14999999999998</x:v>
      </x:c>
      <x:c r="C181" s="6">
        <x:v>1.377E-3</x:v>
      </x:c>
      <x:c r="D181" s="7">
        <x:v>1.6279999999999999</x:v>
      </x:c>
      <x:c r="E181" s="8"/>
      <x:c r="F181" s="4" t="s">
        <x:v>34</x:v>
      </x:c>
      <x:c r="G181" s="9" t="s">
        <x:v>35</x:v>
      </x:c>
    </x:row>
    <x:row r="182" ht="39.5" customHeight="1">
      <x:c r="A182" s="4" t="s">
        <x:v>7</x:v>
      </x:c>
      <x:c r="B182" s="5">
        <x:v>298.14999999999998</x:v>
      </x:c>
      <x:c r="C182" s="6">
        <x:v>1.9620000000000002E-3</x:v>
      </x:c>
      <x:c r="D182" s="7">
        <x:v>1.6339999999999999</x:v>
      </x:c>
      <x:c r="E182" s="8"/>
      <x:c r="F182" s="4" t="s">
        <x:v>34</x:v>
      </x:c>
      <x:c r="G182" s="9" t="s">
        <x:v>35</x:v>
      </x:c>
    </x:row>
    <x:row r="183" ht="39.5" customHeight="1">
      <x:c r="A183" s="4" t="s">
        <x:v>7</x:v>
      </x:c>
      <x:c r="B183" s="5">
        <x:v>298.14999999999998</x:v>
      </x:c>
      <x:c r="C183" s="6">
        <x:v>2.5500000000000002E-3</x:v>
      </x:c>
      <x:c r="D183" s="7">
        <x:v>1.633</x:v>
      </x:c>
      <x:c r="E183" s="8"/>
      <x:c r="F183" s="4" t="s">
        <x:v>34</x:v>
      </x:c>
      <x:c r="G183" s="9" t="s">
        <x:v>35</x:v>
      </x:c>
    </x:row>
    <x:row r="184" ht="39.5" customHeight="1">
      <x:c r="A184" s="4" t="s">
        <x:v>7</x:v>
      </x:c>
      <x:c r="B184" s="5">
        <x:v>298.14999999999998</x:v>
      </x:c>
      <x:c r="C184" s="6">
        <x:v>3.14E-3</x:v>
      </x:c>
      <x:c r="D184" s="7">
        <x:v>1.631</x:v>
      </x:c>
      <x:c r="E184" s="8"/>
      <x:c r="F184" s="4" t="s">
        <x:v>34</x:v>
      </x:c>
      <x:c r="G184" s="9" t="s">
        <x:v>35</x:v>
      </x:c>
    </x:row>
    <x:row r="185" ht="39.5" customHeight="1">
      <x:c r="A185" s="4" t="s">
        <x:v>7</x:v>
      </x:c>
      <x:c r="B185" s="5">
        <x:v>298.14999999999998</x:v>
      </x:c>
      <x:c r="C185" s="6">
        <x:v>3.7030000000000001E-3</x:v>
      </x:c>
      <x:c r="D185" s="7">
        <x:v>1.62</x:v>
      </x:c>
      <x:c r="E185" s="8"/>
      <x:c r="F185" s="4" t="s">
        <x:v>34</x:v>
      </x:c>
      <x:c r="G185" s="9" t="s">
        <x:v>35</x:v>
      </x:c>
    </x:row>
    <x:row r="186" ht="39.5" customHeight="1">
      <x:c r="A186" s="4" t="s">
        <x:v>7</x:v>
      </x:c>
      <x:c r="B186" s="5">
        <x:v>298.14999999999998</x:v>
      </x:c>
      <x:c r="C186" s="6">
        <x:v>4.267E-3</x:v>
      </x:c>
      <x:c r="D186" s="7">
        <x:v>1.6220000000000001</x:v>
      </x:c>
      <x:c r="E186" s="8"/>
      <x:c r="F186" s="4" t="s">
        <x:v>34</x:v>
      </x:c>
      <x:c r="G186" s="9" t="s">
        <x:v>35</x:v>
      </x:c>
    </x:row>
    <x:row r="187" ht="39.5" customHeight="1">
      <x:c r="A187" s="4" t="s">
        <x:v>7</x:v>
      </x:c>
      <x:c r="B187" s="5">
        <x:v>298.14999999999998</x:v>
      </x:c>
      <x:c r="C187" s="6">
        <x:v>4.6160000000000003E-3</x:v>
      </x:c>
      <x:c r="D187" s="7">
        <x:v>1.534</x:v>
      </x:c>
      <x:c r="E187" s="8"/>
      <x:c r="F187" s="4" t="s">
        <x:v>34</x:v>
      </x:c>
      <x:c r="G187" s="9" t="s">
        <x:v>35</x:v>
      </x:c>
    </x:row>
    <x:row r="188" ht="39.5" customHeight="1">
      <x:c r="A188" s="4" t="s">
        <x:v>7</x:v>
      </x:c>
      <x:c r="B188" s="5">
        <x:v>298.14999999999998</x:v>
      </x:c>
      <x:c r="C188" s="6">
        <x:v>4.8240000000000002E-3</x:v>
      </x:c>
      <x:c r="D188" s="7">
        <x:v>1.62</x:v>
      </x:c>
      <x:c r="E188" s="8"/>
      <x:c r="F188" s="4" t="s">
        <x:v>34</x:v>
      </x:c>
      <x:c r="G188" s="9" t="s">
        <x:v>35</x:v>
      </x:c>
    </x:row>
    <x:row r="189" ht="39.5" customHeight="1">
      <x:c r="A189" s="4" t="s">
        <x:v>7</x:v>
      </x:c>
      <x:c r="B189" s="5">
        <x:v>298.14999999999998</x:v>
      </x:c>
      <x:c r="C189" s="6">
        <x:v>5.104E-3</x:v>
      </x:c>
      <x:c r="D189" s="7">
        <x:v>1.538</x:v>
      </x:c>
      <x:c r="E189" s="8"/>
      <x:c r="F189" s="4" t="s">
        <x:v>34</x:v>
      </x:c>
      <x:c r="G189" s="9" t="s">
        <x:v>35</x:v>
      </x:c>
    </x:row>
    <x:row r="190" ht="39.5" customHeight="1">
      <x:c r="A190" s="4" t="s">
        <x:v>7</x:v>
      </x:c>
      <x:c r="B190" s="5">
        <x:v>298.14999999999998</x:v>
      </x:c>
      <x:c r="C190" s="6">
        <x:v>5.3740000000000003E-3</x:v>
      </x:c>
      <x:c r="D190" s="7">
        <x:v>1.6140000000000001</x:v>
      </x:c>
      <x:c r="E190" s="8"/>
      <x:c r="F190" s="4" t="s">
        <x:v>34</x:v>
      </x:c>
      <x:c r="G190" s="9" t="s">
        <x:v>35</x:v>
      </x:c>
    </x:row>
    <x:row r="191" ht="39.5" customHeight="1">
      <x:c r="A191" s="4" t="s">
        <x:v>7</x:v>
      </x:c>
      <x:c r="B191" s="5">
        <x:v>298.14999999999998</x:v>
      </x:c>
      <x:c r="C191" s="6">
        <x:v>5.6559999999999996E-3</x:v>
      </x:c>
      <x:c r="D191" s="7">
        <x:v>1.5369999999999999</x:v>
      </x:c>
      <x:c r="E191" s="8"/>
      <x:c r="F191" s="4" t="s">
        <x:v>34</x:v>
      </x:c>
      <x:c r="G191" s="9" t="s">
        <x:v>35</x:v>
      </x:c>
    </x:row>
    <x:row r="192" ht="39.5" customHeight="1">
      <x:c r="A192" s="4" t="s">
        <x:v>7</x:v>
      </x:c>
      <x:c r="B192" s="5">
        <x:v>298.14999999999998</x:v>
      </x:c>
      <x:c r="C192" s="6">
        <x:v>5.9329999999999999E-3</x:v>
      </x:c>
      <x:c r="D192" s="7">
        <x:v>1.6060000000000001</x:v>
      </x:c>
      <x:c r="E192" s="8"/>
      <x:c r="F192" s="4" t="s">
        <x:v>34</x:v>
      </x:c>
      <x:c r="G192" s="9" t="s">
        <x:v>35</x:v>
      </x:c>
    </x:row>
    <x:row r="193" ht="39.5" customHeight="1">
      <x:c r="A193" s="4" t="s">
        <x:v>7</x:v>
      </x:c>
      <x:c r="B193" s="5">
        <x:v>298.14999999999998</x:v>
      </x:c>
      <x:c r="C193" s="6">
        <x:v>6.4479999999999997E-3</x:v>
      </x:c>
      <x:c r="D193" s="7">
        <x:v>1.6</x:v>
      </x:c>
      <x:c r="E193" s="8"/>
      <x:c r="F193" s="4" t="s">
        <x:v>34</x:v>
      </x:c>
      <x:c r="G193" s="9" t="s">
        <x:v>35</x:v>
      </x:c>
    </x:row>
    <x:row r="194" ht="39.5" customHeight="1">
      <x:c r="A194" s="4" t="s">
        <x:v>7</x:v>
      </x:c>
      <x:c r="B194" s="5">
        <x:v>298.14999999999998</x:v>
      </x:c>
      <x:c r="C194" s="6">
        <x:v>6.522E-3</x:v>
      </x:c>
      <x:c r="D194" s="7">
        <x:v>1.5229999999999999</x:v>
      </x:c>
      <x:c r="E194" s="8"/>
      <x:c r="F194" s="4" t="s">
        <x:v>34</x:v>
      </x:c>
      <x:c r="G194" s="9" t="s">
        <x:v>35</x:v>
      </x:c>
    </x:row>
    <x:row r="195" ht="39.5" customHeight="1">
      <x:c r="A195" s="4" t="s">
        <x:v>7</x:v>
      </x:c>
      <x:c r="B195" s="5">
        <x:v>298.14999999999998</x:v>
      </x:c>
      <x:c r="C195" s="6">
        <x:v>6.9709999999999998E-3</x:v>
      </x:c>
      <x:c r="D195" s="7">
        <x:v>1.587</x:v>
      </x:c>
      <x:c r="E195" s="8"/>
      <x:c r="F195" s="4" t="s">
        <x:v>34</x:v>
      </x:c>
      <x:c r="G195" s="9" t="s">
        <x:v>35</x:v>
      </x:c>
    </x:row>
    <x:row r="196" ht="39.5" customHeight="1">
      <x:c r="A196" s="4" t="s">
        <x:v>7</x:v>
      </x:c>
      <x:c r="B196" s="5">
        <x:v>298.14999999999998</x:v>
      </x:c>
      <x:c r="C196" s="6">
        <x:v>7.0130000000000001E-3</x:v>
      </x:c>
      <x:c r="D196" s="7">
        <x:v>1.518</x:v>
      </x:c>
      <x:c r="E196" s="8"/>
      <x:c r="F196" s="4" t="s">
        <x:v>34</x:v>
      </x:c>
      <x:c r="G196" s="9" t="s">
        <x:v>35</x:v>
      </x:c>
    </x:row>
    <x:row r="197" ht="39.5" customHeight="1">
      <x:c r="A197" s="4" t="s">
        <x:v>7</x:v>
      </x:c>
      <x:c r="B197" s="5">
        <x:v>298.14999999999998</x:v>
      </x:c>
      <x:c r="C197" s="6">
        <x:v>7.5079999999999999E-3</x:v>
      </x:c>
      <x:c r="D197" s="7">
        <x:v>1.5940000000000001</x:v>
      </x:c>
      <x:c r="E197" s="8"/>
      <x:c r="F197" s="4" t="s">
        <x:v>34</x:v>
      </x:c>
      <x:c r="G197" s="9" t="s">
        <x:v>35</x:v>
      </x:c>
    </x:row>
    <x:row r="198" ht="39.5" customHeight="1">
      <x:c r="A198" s="4" t="s">
        <x:v>7</x:v>
      </x:c>
      <x:c r="B198" s="5">
        <x:v>298.14999999999998</x:v>
      </x:c>
      <x:c r="C198" s="6">
        <x:v>7.5209999999999999E-3</x:v>
      </x:c>
      <x:c r="D198" s="7">
        <x:v>1.516</x:v>
      </x:c>
      <x:c r="E198" s="8"/>
      <x:c r="F198" s="4" t="s">
        <x:v>34</x:v>
      </x:c>
      <x:c r="G198" s="9" t="s">
        <x:v>35</x:v>
      </x:c>
    </x:row>
    <x:row r="199" ht="39.5" customHeight="1">
      <x:c r="A199" s="4" t="s">
        <x:v>7</x:v>
      </x:c>
      <x:c r="B199" s="5">
        <x:v>298.14999999999998</x:v>
      </x:c>
      <x:c r="C199" s="6">
        <x:v>8.0040000000000007E-3</x:v>
      </x:c>
      <x:c r="D199" s="7">
        <x:v>1.605</x:v>
      </x:c>
      <x:c r="E199" s="8"/>
      <x:c r="F199" s="4" t="s">
        <x:v>34</x:v>
      </x:c>
      <x:c r="G199" s="9" t="s">
        <x:v>35</x:v>
      </x:c>
    </x:row>
    <x:row r="200" ht="39.5" customHeight="1">
      <x:c r="A200" s="4" t="s">
        <x:v>7</x:v>
      </x:c>
      <x:c r="B200" s="5">
        <x:v>298.14999999999998</x:v>
      </x:c>
      <x:c r="C200" s="6">
        <x:v>8.0909999999999992E-3</x:v>
      </x:c>
      <x:c r="D200" s="7">
        <x:v>1.522</x:v>
      </x:c>
      <x:c r="E200" s="8"/>
      <x:c r="F200" s="4" t="s">
        <x:v>34</x:v>
      </x:c>
      <x:c r="G200" s="9" t="s">
        <x:v>35</x:v>
      </x:c>
    </x:row>
    <x:row r="201" ht="39.5" customHeight="1">
      <x:c r="A201" s="4" t="s">
        <x:v>7</x:v>
      </x:c>
      <x:c r="B201" s="5">
        <x:v>298.14999999999998</x:v>
      </x:c>
      <x:c r="C201" s="6">
        <x:v>8.5640000000000004E-3</x:v>
      </x:c>
      <x:c r="D201" s="7">
        <x:v>1.522</x:v>
      </x:c>
      <x:c r="E201" s="8"/>
      <x:c r="F201" s="4" t="s">
        <x:v>34</x:v>
      </x:c>
      <x:c r="G201" s="9" t="s">
        <x:v>35</x:v>
      </x:c>
    </x:row>
    <x:row r="202" ht="39.5" customHeight="1">
      <x:c r="A202" s="4" t="s">
        <x:v>7</x:v>
      </x:c>
      <x:c r="B202" s="5">
        <x:v>298.14999999999998</x:v>
      </x:c>
      <x:c r="C202" s="6">
        <x:v>9.0580000000000001E-3</x:v>
      </x:c>
      <x:c r="D202" s="7">
        <x:v>1.524</x:v>
      </x:c>
      <x:c r="E202" s="8"/>
      <x:c r="F202" s="4" t="s">
        <x:v>34</x:v>
      </x:c>
      <x:c r="G202" s="9" t="s">
        <x:v>35</x:v>
      </x:c>
    </x:row>
    <x:row r="203" ht="39.5" customHeight="1">
      <x:c r="A203" s="4" t="s">
        <x:v>7</x:v>
      </x:c>
      <x:c r="B203" s="5">
        <x:v>323.14999999999998</x:v>
      </x:c>
      <x:c r="C203" s="6">
        <x:v>4.2100000000000002E-3</x:v>
      </x:c>
      <x:c r="D203" s="7">
        <x:v>2.5659999999999998</x:v>
      </x:c>
      <x:c r="E203" s="8"/>
      <x:c r="F203" s="4" t="s">
        <x:v>34</x:v>
      </x:c>
      <x:c r="G203" s="9" t="s">
        <x:v>35</x:v>
      </x:c>
    </x:row>
    <x:row r="204" ht="39.5" customHeight="1">
      <x:c r="A204" s="4" t="s">
        <x:v>7</x:v>
      </x:c>
      <x:c r="B204" s="5">
        <x:v>323.14999999999998</x:v>
      </x:c>
      <x:c r="C204" s="6">
        <x:v>5.1240000000000001E-3</x:v>
      </x:c>
      <x:c r="D204" s="7">
        <x:v>2.589</x:v>
      </x:c>
      <x:c r="E204" s="8"/>
      <x:c r="F204" s="4" t="s">
        <x:v>34</x:v>
      </x:c>
      <x:c r="G204" s="9" t="s">
        <x:v>35</x:v>
      </x:c>
    </x:row>
    <x:row r="205" ht="39.5" customHeight="1">
      <x:c r="A205" s="4" t="s">
        <x:v>7</x:v>
      </x:c>
      <x:c r="B205" s="5">
        <x:v>323.14999999999998</x:v>
      </x:c>
      <x:c r="C205" s="6">
        <x:v>5.9509999999999997E-3</x:v>
      </x:c>
      <x:c r="D205" s="7">
        <x:v>2.5880000000000001</x:v>
      </x:c>
      <x:c r="E205" s="8"/>
      <x:c r="F205" s="4" t="s">
        <x:v>34</x:v>
      </x:c>
      <x:c r="G205" s="9" t="s">
        <x:v>35</x:v>
      </x:c>
    </x:row>
    <x:row r="206" ht="39.5" customHeight="1">
      <x:c r="A206" s="4" t="s">
        <x:v>7</x:v>
      </x:c>
      <x:c r="B206" s="5">
        <x:v>323.14999999999998</x:v>
      </x:c>
      <x:c r="C206" s="6">
        <x:v>6.8690000000000001E-3</x:v>
      </x:c>
      <x:c r="D206" s="7">
        <x:v>2.5150000000000001</x:v>
      </x:c>
      <x:c r="E206" s="8"/>
      <x:c r="F206" s="4" t="s">
        <x:v>34</x:v>
      </x:c>
      <x:c r="G206" s="9" t="s">
        <x:v>35</x:v>
      </x:c>
    </x:row>
    <x:row r="207" ht="39.5" customHeight="1">
      <x:c r="A207" s="4" t="s">
        <x:v>7</x:v>
      </x:c>
      <x:c r="B207" s="5">
        <x:v>343.15</x:v>
      </x:c>
      <x:c r="C207" s="6">
        <x:v>6.4419999999999998E-3</x:v>
      </x:c>
      <x:c r="D207" s="7">
        <x:v>3.7509999999999999</x:v>
      </x:c>
      <x:c r="E207" s="8"/>
      <x:c r="F207" s="4" t="s">
        <x:v>34</x:v>
      </x:c>
      <x:c r="G207" s="9" t="s">
        <x:v>35</x:v>
      </x:c>
    </x:row>
    <x:row r="208" ht="39.5" customHeight="1">
      <x:c r="A208" s="4" t="s">
        <x:v>7</x:v>
      </x:c>
      <x:c r="B208" s="5">
        <x:v>343.15</x:v>
      </x:c>
      <x:c r="C208" s="6">
        <x:v>7.6309999999999998E-3</x:v>
      </x:c>
      <x:c r="D208" s="7">
        <x:v>3.802</x:v>
      </x:c>
      <x:c r="E208" s="8"/>
      <x:c r="F208" s="4" t="s">
        <x:v>34</x:v>
      </x:c>
      <x:c r="G208" s="9" t="s">
        <x:v>35</x:v>
      </x:c>
    </x:row>
    <x:row r="209" ht="39.5" customHeight="1">
      <x:c r="A209" s="4" t="s">
        <x:v>7</x:v>
      </x:c>
      <x:c r="B209" s="5">
        <x:v>353.15</x:v>
      </x:c>
      <x:c r="C209" s="6">
        <x:v>3.6089999999999998E-3</x:v>
      </x:c>
      <x:c r="D209" s="7">
        <x:v>4.3940000000000001</x:v>
      </x:c>
      <x:c r="E209" s="8"/>
      <x:c r="F209" s="4" t="s">
        <x:v>34</x:v>
      </x:c>
      <x:c r="G209" s="9" t="s">
        <x:v>35</x:v>
      </x:c>
    </x:row>
    <x:row r="210" ht="39.5" customHeight="1">
      <x:c r="A210" s="4" t="s">
        <x:v>7</x:v>
      </x:c>
      <x:c r="B210" s="5">
        <x:v>353.15</x:v>
      </x:c>
      <x:c r="C210" s="6">
        <x:v>5.1089999999999998E-3</x:v>
      </x:c>
      <x:c r="D210" s="7">
        <x:v>4.4340000000000002</x:v>
      </x:c>
      <x:c r="E210" s="8"/>
      <x:c r="F210" s="4" t="s">
        <x:v>34</x:v>
      </x:c>
      <x:c r="G210" s="9" t="s">
        <x:v>35</x:v>
      </x:c>
    </x:row>
    <x:row r="211" ht="39.5" customHeight="1">
      <x:c r="A211" s="4" t="s">
        <x:v>7</x:v>
      </x:c>
      <x:c r="B211" s="5">
        <x:v>353.15</x:v>
      </x:c>
      <x:c r="C211" s="6">
        <x:v>6.5950000000000002E-3</x:v>
      </x:c>
      <x:c r="D211" s="7">
        <x:v>4.4189999999999996</x:v>
      </x:c>
      <x:c r="E211" s="8"/>
      <x:c r="F211" s="4" t="s">
        <x:v>34</x:v>
      </x:c>
      <x:c r="G211" s="9" t="s">
        <x:v>35</x:v>
      </x:c>
    </x:row>
    <x:row r="212" ht="26.399999618530273" customHeight="1">
      <x:c r="A212" s="4" t="s">
        <x:v>7</x:v>
      </x:c>
      <x:c r="B212" s="5">
        <x:v>298.14999999999998</x:v>
      </x:c>
      <x:c r="C212" s="6">
        <x:v>1.7978999999999998E-2</x:v>
      </x:c>
      <x:c r="D212" s="7">
        <x:v>1.5315000000000001</x:v>
      </x:c>
      <x:c r="E212" s="8"/>
      <x:c r="F212" s="4" t="s">
        <x:v>36</x:v>
      </x:c>
      <x:c r="G212" s="9" t="s">
        <x:v>37</x:v>
      </x:c>
    </x:row>
    <x:row r="213" ht="26.399999618530273" customHeight="1">
      <x:c r="A213" s="4" t="s">
        <x:v>7</x:v>
      </x:c>
      <x:c r="B213" s="5">
        <x:v>298.14999999999998</x:v>
      </x:c>
      <x:c r="C213" s="6">
        <x:v>2.4822E-2</x:v>
      </x:c>
      <x:c r="D213" s="7">
        <x:v>1.5215000000000001</x:v>
      </x:c>
      <x:c r="E213" s="8"/>
      <x:c r="F213" s="4" t="s">
        <x:v>36</x:v>
      </x:c>
      <x:c r="G213" s="9" t="s">
        <x:v>37</x:v>
      </x:c>
    </x:row>
    <x:row r="214" ht="26.399999618530273" customHeight="1">
      <x:c r="A214" s="4" t="s">
        <x:v>7</x:v>
      </x:c>
      <x:c r="B214" s="5">
        <x:v>298.14999999999998</x:v>
      </x:c>
      <x:c r="C214" s="6">
        <x:v>4.9771999999999997E-2</x:v>
      </x:c>
      <x:c r="D214" s="7">
        <x:v>1.5044999999999999</x:v>
      </x:c>
      <x:c r="E214" s="8"/>
      <x:c r="F214" s="4" t="s">
        <x:v>36</x:v>
      </x:c>
      <x:c r="G214" s="9" t="s">
        <x:v>37</x:v>
      </x:c>
    </x:row>
    <x:row r="215" ht="26.399999618530273" customHeight="1">
      <x:c r="A215" s="4" t="s">
        <x:v>7</x:v>
      </x:c>
      <x:c r="B215" s="5">
        <x:v>298.14999999999998</x:v>
      </x:c>
      <x:c r="C215" s="6">
        <x:v>9.9482000000000001E-2</x:v>
      </x:c>
      <x:c r="D215" s="7">
        <x:v>1.4873000000000001</x:v>
      </x:c>
      <x:c r="E215" s="8"/>
      <x:c r="F215" s="4" t="s">
        <x:v>36</x:v>
      </x:c>
      <x:c r="G215" s="9" t="s">
        <x:v>37</x:v>
      </x:c>
    </x:row>
    <x:row r="216" ht="26.399999618530273" customHeight="1">
      <x:c r="A216" s="4" t="s">
        <x:v>7</x:v>
      </x:c>
      <x:c r="B216" s="5">
        <x:v>298.14999999999998</x:v>
      </x:c>
      <x:c r="C216" s="6">
        <x:v>0.19857</x:v>
      </x:c>
      <x:c r="D216" s="7">
        <x:v>1.4781</x:v>
      </x:c>
      <x:c r="E216" s="8"/>
      <x:c r="F216" s="4" t="s">
        <x:v>36</x:v>
      </x:c>
      <x:c r="G216" s="9" t="s">
        <x:v>37</x:v>
      </x:c>
    </x:row>
    <x:row r="217" ht="26.399999618530273" customHeight="1">
      <x:c r="A217" s="4" t="s">
        <x:v>7</x:v>
      </x:c>
      <x:c r="B217" s="5">
        <x:v>298.14999999999998</x:v>
      </x:c>
      <x:c r="C217" s="6">
        <x:v>0.29577999999999999</x:v>
      </x:c>
      <x:c r="D217" s="7">
        <x:v>1.4733000000000001</x:v>
      </x:c>
      <x:c r="E217" s="8"/>
      <x:c r="F217" s="4" t="s">
        <x:v>36</x:v>
      </x:c>
      <x:c r="G217" s="9" t="s">
        <x:v>37</x:v>
      </x:c>
    </x:row>
    <x:row r="218" ht="26.399999618530273" customHeight="1">
      <x:c r="A218" s="4" t="s">
        <x:v>7</x:v>
      </x:c>
      <x:c r="B218" s="5">
        <x:v>298.14999999999998</x:v>
      </x:c>
      <x:c r="C218" s="6">
        <x:v>0.39600999999999997</x:v>
      </x:c>
      <x:c r="D218" s="7">
        <x:v>1.4737</x:v>
      </x:c>
      <x:c r="E218" s="8"/>
      <x:c r="F218" s="4" t="s">
        <x:v>36</x:v>
      </x:c>
      <x:c r="G218" s="9" t="s">
        <x:v>37</x:v>
      </x:c>
    </x:row>
    <x:row r="219" ht="26.399999618530273" customHeight="1">
      <x:c r="A219" s="4" t="s">
        <x:v>7</x:v>
      </x:c>
      <x:c r="B219" s="5">
        <x:v>298.14999999999998</x:v>
      </x:c>
      <x:c r="C219" s="6">
        <x:v>0.68903000000000003</x:v>
      </x:c>
      <x:c r="D219" s="7">
        <x:v>1.4755</x:v>
      </x:c>
      <x:c r="E219" s="8"/>
      <x:c r="F219" s="4" t="s">
        <x:v>36</x:v>
      </x:c>
      <x:c r="G219" s="9" t="s">
        <x:v>37</x:v>
      </x:c>
    </x:row>
    <x:row r="220" ht="26.399999618530273" customHeight="1">
      <x:c r="A220" s="4" t="s">
        <x:v>7</x:v>
      </x:c>
      <x:c r="B220" s="5">
        <x:v>298.14999999999998</x:v>
      </x:c>
      <x:c r="C220" s="6">
        <x:v>0.97846999999999995</x:v>
      </x:c>
      <x:c r="D220" s="7">
        <x:v>1.4813000000000001</x:v>
      </x:c>
      <x:c r="E220" s="8"/>
      <x:c r="F220" s="4" t="s">
        <x:v>36</x:v>
      </x:c>
      <x:c r="G220" s="9" t="s">
        <x:v>37</x:v>
      </x:c>
    </x:row>
    <x:row r="221" ht="26.399999618530273" customHeight="1">
      <x:c r="A221" s="4" t="s">
        <x:v>7</x:v>
      </x:c>
      <x:c r="B221" s="5">
        <x:v>298.14999999999998</x:v>
      </x:c>
      <x:c r="C221" s="6">
        <x:v>1.3588</x:v>
      </x:c>
      <x:c r="D221" s="7">
        <x:v>1.4918</x:v>
      </x:c>
      <x:c r="E221" s="8"/>
      <x:c r="F221" s="4" t="s">
        <x:v>36</x:v>
      </x:c>
      <x:c r="G221" s="9" t="s">
        <x:v>37</x:v>
      </x:c>
    </x:row>
    <x:row r="222" ht="26.399999618530273" customHeight="1">
      <x:c r="A222" s="4" t="s">
        <x:v>7</x:v>
      </x:c>
      <x:c r="B222" s="5">
        <x:v>298.14999999999998</x:v>
      </x:c>
      <x:c r="C222" s="6">
        <x:v>1.4541999999999999</x:v>
      </x:c>
      <x:c r="D222" s="7">
        <x:v>1.4931000000000001</x:v>
      </x:c>
      <x:c r="E222" s="8"/>
      <x:c r="F222" s="4" t="s">
        <x:v>36</x:v>
      </x:c>
      <x:c r="G222" s="9" t="s">
        <x:v>37</x:v>
      </x:c>
    </x:row>
    <x:row r="223" ht="26.399999618530273" customHeight="1">
      <x:c r="A223" s="4" t="s">
        <x:v>7</x:v>
      </x:c>
      <x:c r="B223" s="5">
        <x:v>298.14999999999998</x:v>
      </x:c>
      <x:c r="C223" s="6">
        <x:v>1.9200999999999999</x:v>
      </x:c>
      <x:c r="D223" s="7">
        <x:v>1.5137</x:v>
      </x:c>
      <x:c r="E223" s="8"/>
      <x:c r="F223" s="4" t="s">
        <x:v>36</x:v>
      </x:c>
      <x:c r="G223" s="9" t="s">
        <x:v>37</x:v>
      </x:c>
    </x:row>
    <x:row r="224" ht="26.399999618530273" customHeight="1">
      <x:c r="A224" s="4" t="s">
        <x:v>7</x:v>
      </x:c>
      <x:c r="B224" s="5">
        <x:v>298.14999999999998</x:v>
      </x:c>
      <x:c r="C224" s="6">
        <x:v>2.1208999999999998</x:v>
      </x:c>
      <x:c r="D224" s="7">
        <x:v>1.52</x:v>
      </x:c>
      <x:c r="E224" s="8"/>
      <x:c r="F224" s="4" t="s">
        <x:v>36</x:v>
      </x:c>
      <x:c r="G224" s="9" t="s">
        <x:v>37</x:v>
      </x:c>
    </x:row>
    <x:row r="225" ht="26.399999618530273" customHeight="1">
      <x:c r="A225" s="4" t="s">
        <x:v>7</x:v>
      </x:c>
      <x:c r="B225" s="5">
        <x:v>298.14999999999998</x:v>
      </x:c>
      <x:c r="C225" s="6">
        <x:v>2.5983999999999998</x:v>
      </x:c>
      <x:c r="D225" s="7">
        <x:v>1.5401</x:v>
      </x:c>
      <x:c r="E225" s="8"/>
      <x:c r="F225" s="4" t="s">
        <x:v>36</x:v>
      </x:c>
      <x:c r="G225" s="9" t="s">
        <x:v>37</x:v>
      </x:c>
    </x:row>
    <x:row r="226" ht="26.399999618530273" customHeight="1">
      <x:c r="A226" s="4" t="s">
        <x:v>7</x:v>
      </x:c>
      <x:c r="B226" s="5">
        <x:v>298.14999999999998</x:v>
      </x:c>
      <x:c r="C226" s="6">
        <x:v>3.0798999999999999</x:v>
      </x:c>
      <x:c r="D226" s="7">
        <x:v>1.5593999999999999</x:v>
      </x:c>
      <x:c r="E226" s="8"/>
      <x:c r="F226" s="4" t="s">
        <x:v>36</x:v>
      </x:c>
      <x:c r="G226" s="9" t="s">
        <x:v>37</x:v>
      </x:c>
    </x:row>
    <x:row r="227" ht="26.399999618530273" customHeight="1">
      <x:c r="A227" s="4" t="s">
        <x:v>7</x:v>
      </x:c>
      <x:c r="B227" s="5">
        <x:v>298.14999999999998</x:v>
      </x:c>
      <x:c r="C227" s="6">
        <x:v>3.0808</x:v>
      </x:c>
      <x:c r="D227" s="7">
        <x:v>1.5593999999999999</x:v>
      </x:c>
      <x:c r="E227" s="8"/>
      <x:c r="F227" s="4" t="s">
        <x:v>36</x:v>
      </x:c>
      <x:c r="G227" s="9" t="s">
        <x:v>37</x:v>
      </x:c>
    </x:row>
    <x:row r="228" ht="26.399999618530273" customHeight="1">
      <x:c r="A228" s="4" t="s">
        <x:v>7</x:v>
      </x:c>
      <x:c r="B228" s="5">
        <x:v>298.14999999999998</x:v>
      </x:c>
      <x:c r="C228" s="6">
        <x:v>3.0823</x:v>
      </x:c>
      <x:c r="D228" s="7">
        <x:v>1.5598000000000001</x:v>
      </x:c>
      <x:c r="E228" s="8"/>
      <x:c r="F228" s="4" t="s">
        <x:v>36</x:v>
      </x:c>
      <x:c r="G228" s="9" t="s">
        <x:v>37</x:v>
      </x:c>
    </x:row>
    <x:row r="229" ht="26.399999618530273" customHeight="1">
      <x:c r="A229" s="4" t="s">
        <x:v>7</x:v>
      </x:c>
      <x:c r="B229" s="5">
        <x:v>298.14999999999998</x:v>
      </x:c>
      <x:c r="C229" s="6">
        <x:v>3.4226000000000001</x:v>
      </x:c>
      <x:c r="D229" s="7">
        <x:v>1.5726</x:v>
      </x:c>
      <x:c r="E229" s="8"/>
      <x:c r="F229" s="4" t="s">
        <x:v>36</x:v>
      </x:c>
      <x:c r="G229" s="9" t="s">
        <x:v>37</x:v>
      </x:c>
    </x:row>
    <x:row r="230" ht="26.399999618530273" customHeight="1">
      <x:c r="A230" s="4" t="s">
        <x:v>7</x:v>
      </x:c>
      <x:c r="B230" s="5">
        <x:v>298.14999999999998</x:v>
      </x:c>
      <x:c r="C230" s="6">
        <x:v>3.8936999999999999</x:v>
      </x:c>
      <x:c r="D230" s="7">
        <x:v>1.5853999999999999</x:v>
      </x:c>
      <x:c r="E230" s="8"/>
      <x:c r="F230" s="4" t="s">
        <x:v>36</x:v>
      </x:c>
      <x:c r="G230" s="9" t="s">
        <x:v>37</x:v>
      </x:c>
    </x:row>
    <x:row r="231" ht="26.399999618530273" customHeight="1">
      <x:c r="A231" s="4" t="s">
        <x:v>7</x:v>
      </x:c>
      <x:c r="B231" s="5">
        <x:v>298.14999999999998</x:v>
      </x:c>
      <x:c r="C231" s="6">
        <x:v>4.1036000000000001</x:v>
      </x:c>
      <x:c r="D231" s="7">
        <x:v>1.5889</x:v>
      </x:c>
      <x:c r="E231" s="8"/>
      <x:c r="F231" s="4" t="s">
        <x:v>36</x:v>
      </x:c>
      <x:c r="G231" s="9" t="s">
        <x:v>37</x:v>
      </x:c>
    </x:row>
    <x:row r="232" ht="26.399999618530273" customHeight="1">
      <x:c r="A232" s="4" t="s">
        <x:v>7</x:v>
      </x:c>
      <x:c r="B232" s="5">
        <x:v>298.14999999999998</x:v>
      </x:c>
      <x:c r="C232" s="6">
        <x:v>4.3064</x:v>
      </x:c>
      <x:c r="D232" s="7">
        <x:v>1.5898000000000001</x:v>
      </x:c>
      <x:c r="E232" s="8"/>
      <x:c r="F232" s="4" t="s">
        <x:v>36</x:v>
      </x:c>
      <x:c r="G232" s="9" t="s">
        <x:v>37</x:v>
      </x:c>
    </x:row>
    <x:row r="233" ht="26.399999618530273" customHeight="1">
      <x:c r="A233" s="4" t="s">
        <x:v>7</x:v>
      </x:c>
      <x:c r="B233" s="5">
        <x:v>298.14999999999998</x:v>
      </x:c>
      <x:c r="C233" s="6">
        <x:v>4.5118999999999998</x:v>
      </x:c>
      <x:c r="D233" s="7">
        <x:v>1.5933999999999999</x:v>
      </x:c>
      <x:c r="E233" s="8"/>
      <x:c r="F233" s="4" t="s">
        <x:v>36</x:v>
      </x:c>
      <x:c r="G233" s="9" t="s">
        <x:v>37</x:v>
      </x:c>
    </x:row>
    <x:row r="234" ht="26.399999618530273" customHeight="1">
      <x:c r="A234" s="4" t="s">
        <x:v>7</x:v>
      </x:c>
      <x:c r="B234" s="5">
        <x:v>298.14999999999998</x:v>
      </x:c>
      <x:c r="C234" s="6">
        <x:v>4.7144000000000004</x:v>
      </x:c>
      <x:c r="D234" s="7">
        <x:v>1.5911999999999999</x:v>
      </x:c>
      <x:c r="E234" s="8"/>
      <x:c r="F234" s="4" t="s">
        <x:v>36</x:v>
      </x:c>
      <x:c r="G234" s="9" t="s">
        <x:v>37</x:v>
      </x:c>
    </x:row>
    <x:row r="235" ht="26.399999618530273" customHeight="1">
      <x:c r="A235" s="4" t="s">
        <x:v>7</x:v>
      </x:c>
      <x:c r="B235" s="5">
        <x:v>298.14999999999998</x:v>
      </x:c>
      <x:c r="C235" s="6">
        <x:v>4.9131</x:v>
      </x:c>
      <x:c r="D235" s="7">
        <x:v>1.5843</x:v>
      </x:c>
      <x:c r="E235" s="8"/>
      <x:c r="F235" s="4" t="s">
        <x:v>36</x:v>
      </x:c>
      <x:c r="G235" s="9" t="s">
        <x:v>37</x:v>
      </x:c>
    </x:row>
    <x:row r="236" ht="26.399999618530273" customHeight="1">
      <x:c r="A236" s="4" t="s">
        <x:v>7</x:v>
      </x:c>
      <x:c r="B236" s="5">
        <x:v>298.14999999999998</x:v>
      </x:c>
      <x:c r="C236" s="6">
        <x:v>5.0678000000000001</x:v>
      </x:c>
      <x:c r="D236" s="7">
        <x:v>1.5845</x:v>
      </x:c>
      <x:c r="E236" s="8"/>
      <x:c r="F236" s="4" t="s">
        <x:v>36</x:v>
      </x:c>
      <x:c r="G236" s="9" t="s">
        <x:v>37</x:v>
      </x:c>
    </x:row>
    <x:row r="237" ht="26.399999618530273" customHeight="1">
      <x:c r="A237" s="4" t="s">
        <x:v>7</x:v>
      </x:c>
      <x:c r="B237" s="5">
        <x:v>298.14999999999998</x:v>
      </x:c>
      <x:c r="C237" s="6">
        <x:v>5.3194999999999997</x:v>
      </x:c>
      <x:c r="D237" s="7">
        <x:v>1.577</x:v>
      </x:c>
      <x:c r="E237" s="8"/>
      <x:c r="F237" s="4" t="s">
        <x:v>36</x:v>
      </x:c>
      <x:c r="G237" s="9" t="s">
        <x:v>37</x:v>
      </x:c>
    </x:row>
    <x:row r="238" ht="39.5" customHeight="1">
      <x:c r="A238" s="4" t="s">
        <x:v>7</x:v>
      </x:c>
      <x:c r="B238" s="5">
        <x:v>298.14999999999998</x:v>
      </x:c>
      <x:c r="C238" s="6">
        <x:v>2.7150000000000001E-2</x:v>
      </x:c>
      <x:c r="D238" s="7">
        <x:v>1.526</x:v>
      </x:c>
      <x:c r="E238" s="8"/>
      <x:c r="F238" s="4" t="s">
        <x:v>38</x:v>
      </x:c>
      <x:c r="G238" s="9" t="s">
        <x:v>39</x:v>
      </x:c>
    </x:row>
    <x:row r="239" ht="39.5" customHeight="1">
      <x:c r="A239" s="4" t="s">
        <x:v>7</x:v>
      </x:c>
      <x:c r="B239" s="5">
        <x:v>298.14999999999998</x:v>
      </x:c>
      <x:c r="C239" s="6">
        <x:v>2.7570000000000001E-2</x:v>
      </x:c>
      <x:c r="D239" s="7">
        <x:v>1.512</x:v>
      </x:c>
      <x:c r="E239" s="8"/>
      <x:c r="F239" s="4" t="s">
        <x:v>38</x:v>
      </x:c>
      <x:c r="G239" s="9" t="s">
        <x:v>39</x:v>
      </x:c>
    </x:row>
    <x:row r="240" ht="39.5" customHeight="1">
      <x:c r="A240" s="4" t="s">
        <x:v>7</x:v>
      </x:c>
      <x:c r="B240" s="5">
        <x:v>298.14999999999998</x:v>
      </x:c>
      <x:c r="C240" s="6">
        <x:v>8.0589999999999995E-2</x:v>
      </x:c>
      <x:c r="D240" s="7">
        <x:v>1.49</x:v>
      </x:c>
      <x:c r="E240" s="8"/>
      <x:c r="F240" s="4" t="s">
        <x:v>38</x:v>
      </x:c>
      <x:c r="G240" s="9" t="s">
        <x:v>39</x:v>
      </x:c>
    </x:row>
    <x:row r="241" ht="39.5" customHeight="1">
      <x:c r="A241" s="4" t="s">
        <x:v>7</x:v>
      </x:c>
      <x:c r="B241" s="5">
        <x:v>298.14999999999998</x:v>
      </x:c>
      <x:c r="C241" s="6">
        <x:v>9.6439999999999998E-2</x:v>
      </x:c>
      <x:c r="D241" s="7">
        <x:v>1.4830000000000001</x:v>
      </x:c>
      <x:c r="E241" s="8"/>
      <x:c r="F241" s="4" t="s">
        <x:v>38</x:v>
      </x:c>
      <x:c r="G241" s="9" t="s">
        <x:v>39</x:v>
      </x:c>
    </x:row>
    <x:row r="242" ht="39.5" customHeight="1">
      <x:c r="A242" s="4" t="s">
        <x:v>7</x:v>
      </x:c>
      <x:c r="B242" s="5">
        <x:v>298.14999999999998</x:v>
      </x:c>
      <x:c r="C242" s="6">
        <x:v>0.12670000000000001</x:v>
      </x:c>
      <x:c r="D242" s="7">
        <x:v>1.4790000000000001</x:v>
      </x:c>
      <x:c r="E242" s="8"/>
      <x:c r="F242" s="4" t="s">
        <x:v>38</x:v>
      </x:c>
      <x:c r="G242" s="9" t="s">
        <x:v>39</x:v>
      </x:c>
    </x:row>
    <x:row r="243" ht="39.5" customHeight="1">
      <x:c r="A243" s="4" t="s">
        <x:v>7</x:v>
      </x:c>
      <x:c r="B243" s="5">
        <x:v>298.14999999999998</x:v>
      </x:c>
      <x:c r="C243" s="6">
        <x:v>0.1419</x:v>
      </x:c>
      <x:c r="D243" s="7">
        <x:v>1.4810000000000001</x:v>
      </x:c>
      <x:c r="E243" s="8"/>
      <x:c r="F243" s="4" t="s">
        <x:v>38</x:v>
      </x:c>
      <x:c r="G243" s="9" t="s">
        <x:v>39</x:v>
      </x:c>
    </x:row>
    <x:row r="244" ht="39.5" customHeight="1">
      <x:c r="A244" s="4" t="s">
        <x:v>7</x:v>
      </x:c>
      <x:c r="B244" s="5">
        <x:v>298.14999999999998</x:v>
      </x:c>
      <x:c r="C244" s="6">
        <x:v>0.2082</x:v>
      </x:c>
      <x:c r="D244" s="7">
        <x:v>1.472</x:v>
      </x:c>
      <x:c r="E244" s="8"/>
      <x:c r="F244" s="4" t="s">
        <x:v>38</x:v>
      </x:c>
      <x:c r="G244" s="9" t="s">
        <x:v>39</x:v>
      </x:c>
    </x:row>
    <x:row r="245" ht="39.5" customHeight="1">
      <x:c r="A245" s="4" t="s">
        <x:v>7</x:v>
      </x:c>
      <x:c r="B245" s="5">
        <x:v>298.14999999999998</x:v>
      </x:c>
      <x:c r="C245" s="6">
        <x:v>0.2082</x:v>
      </x:c>
      <x:c r="D245" s="7">
        <x:v>1.474</x:v>
      </x:c>
      <x:c r="E245" s="8"/>
      <x:c r="F245" s="4" t="s">
        <x:v>38</x:v>
      </x:c>
      <x:c r="G245" s="9" t="s">
        <x:v>39</x:v>
      </x:c>
    </x:row>
    <x:row r="246" ht="39.5" customHeight="1">
      <x:c r="A246" s="4" t="s">
        <x:v>7</x:v>
      </x:c>
      <x:c r="B246" s="5">
        <x:v>298.14999999999998</x:v>
      </x:c>
      <x:c r="C246" s="6">
        <x:v>0.21299999999999999</x:v>
      </x:c>
      <x:c r="D246" s="7">
        <x:v>1.4730000000000001</x:v>
      </x:c>
      <x:c r="E246" s="8"/>
      <x:c r="F246" s="4" t="s">
        <x:v>38</x:v>
      </x:c>
      <x:c r="G246" s="9" t="s">
        <x:v>39</x:v>
      </x:c>
    </x:row>
    <x:row r="247" ht="39.5" customHeight="1">
      <x:c r="A247" s="4" t="s">
        <x:v>7</x:v>
      </x:c>
      <x:c r="B247" s="5">
        <x:v>298.14999999999998</x:v>
      </x:c>
      <x:c r="C247" s="6">
        <x:v>0.3</x:v>
      </x:c>
      <x:c r="D247" s="7">
        <x:v>1.4730000000000001</x:v>
      </x:c>
      <x:c r="E247" s="8"/>
      <x:c r="F247" s="4" t="s">
        <x:v>38</x:v>
      </x:c>
      <x:c r="G247" s="9" t="s">
        <x:v>39</x:v>
      </x:c>
    </x:row>
    <x:row r="248" ht="39.5" customHeight="1">
      <x:c r="A248" s="4" t="s">
        <x:v>7</x:v>
      </x:c>
      <x:c r="B248" s="5">
        <x:v>298.14999999999998</x:v>
      </x:c>
      <x:c r="C248" s="6">
        <x:v>0.34160000000000001</x:v>
      </x:c>
      <x:c r="D248" s="7">
        <x:v>1.4770000000000001</x:v>
      </x:c>
      <x:c r="E248" s="8"/>
      <x:c r="F248" s="4" t="s">
        <x:v>38</x:v>
      </x:c>
      <x:c r="G248" s="9" t="s">
        <x:v>39</x:v>
      </x:c>
    </x:row>
    <x:row r="249" ht="39.5" customHeight="1">
      <x:c r="A249" s="4" t="s">
        <x:v>7</x:v>
      </x:c>
      <x:c r="B249" s="5">
        <x:v>298.14999999999998</x:v>
      </x:c>
      <x:c r="C249" s="6">
        <x:v>0.50039999999999996</x:v>
      </x:c>
      <x:c r="D249" s="7">
        <x:v>1.4730000000000001</x:v>
      </x:c>
      <x:c r="E249" s="8"/>
      <x:c r="F249" s="4" t="s">
        <x:v>38</x:v>
      </x:c>
      <x:c r="G249" s="9" t="s">
        <x:v>39</x:v>
      </x:c>
    </x:row>
    <x:row r="250" ht="39.5" customHeight="1">
      <x:c r="A250" s="4" t="s">
        <x:v>7</x:v>
      </x:c>
      <x:c r="B250" s="5">
        <x:v>298.14999999999998</x:v>
      </x:c>
      <x:c r="C250" s="6">
        <x:v>0.69869999999999999</x:v>
      </x:c>
      <x:c r="D250" s="7">
        <x:v>1.4770000000000001</x:v>
      </x:c>
      <x:c r="E250" s="8"/>
      <x:c r="F250" s="4" t="s">
        <x:v>38</x:v>
      </x:c>
      <x:c r="G250" s="9" t="s">
        <x:v>39</x:v>
      </x:c>
    </x:row>
    <x:row r="251" ht="39.5" customHeight="1">
      <x:c r="A251" s="4" t="s">
        <x:v>7</x:v>
      </x:c>
      <x:c r="B251" s="5">
        <x:v>298.14999999999998</x:v>
      </x:c>
      <x:c r="C251" s="6">
        <x:v>1</x:v>
      </x:c>
      <x:c r="D251" s="7">
        <x:v>1.4850000000000001</x:v>
      </x:c>
      <x:c r="E251" s="8"/>
      <x:c r="F251" s="4" t="s">
        <x:v>38</x:v>
      </x:c>
      <x:c r="G251" s="9" t="s">
        <x:v>39</x:v>
      </x:c>
    </x:row>
    <x:row r="252" ht="39.5" customHeight="1">
      <x:c r="A252" s="4" t="s">
        <x:v>7</x:v>
      </x:c>
      <x:c r="B252" s="5">
        <x:v>298.14999999999998</x:v>
      </x:c>
      <x:c r="C252" s="6">
        <x:v>2.0028000000000001</x:v>
      </x:c>
      <x:c r="D252" s="7">
        <x:v>1.5189999999999999</x:v>
      </x:c>
      <x:c r="E252" s="8"/>
      <x:c r="F252" s="4" t="s">
        <x:v>38</x:v>
      </x:c>
      <x:c r="G252" s="9" t="s">
        <x:v>39</x:v>
      </x:c>
    </x:row>
    <x:row r="253" ht="39.5" customHeight="1">
      <x:c r="A253" s="4" t="s">
        <x:v>7</x:v>
      </x:c>
      <x:c r="B253" s="5">
        <x:v>298.14999999999998</x:v>
      </x:c>
      <x:c r="C253" s="6">
        <x:v>2.0305</x:v>
      </x:c>
      <x:c r="D253" s="7">
        <x:v>1.5169999999999999</x:v>
      </x:c>
      <x:c r="E253" s="8"/>
      <x:c r="F253" s="4" t="s">
        <x:v>38</x:v>
      </x:c>
      <x:c r="G253" s="9" t="s">
        <x:v>39</x:v>
      </x:c>
    </x:row>
    <x:row r="254" ht="39.5" customHeight="1">
      <x:c r="A254" s="4" t="s">
        <x:v>7</x:v>
      </x:c>
      <x:c r="B254" s="5">
        <x:v>298.14999999999998</x:v>
      </x:c>
      <x:c r="C254" s="6">
        <x:v>3</x:v>
      </x:c>
      <x:c r="D254" s="7">
        <x:v>1.5649999999999999</x:v>
      </x:c>
      <x:c r="E254" s="8"/>
      <x:c r="F254" s="4" t="s">
        <x:v>38</x:v>
      </x:c>
      <x:c r="G254" s="9" t="s">
        <x:v>39</x:v>
      </x:c>
    </x:row>
    <x:row r="255" ht="39.5" customHeight="1">
      <x:c r="A255" s="4" t="s">
        <x:v>7</x:v>
      </x:c>
      <x:c r="B255" s="5">
        <x:v>298.14999999999998</x:v>
      </x:c>
      <x:c r="C255" s="6">
        <x:v>4</x:v>
      </x:c>
      <x:c r="D255" s="7">
        <x:v>1.5940000000000001</x:v>
      </x:c>
      <x:c r="E255" s="8"/>
      <x:c r="F255" s="4" t="s">
        <x:v>38</x:v>
      </x:c>
      <x:c r="G255" s="9" t="s">
        <x:v>39</x:v>
      </x:c>
    </x:row>
    <x:row r="256" ht="39.5" customHeight="1">
      <x:c r="A256" s="4" t="s">
        <x:v>7</x:v>
      </x:c>
      <x:c r="B256" s="5">
        <x:v>298.14999999999998</x:v>
      </x:c>
      <x:c r="C256" s="6">
        <x:v>4.5260999999999996</x:v>
      </x:c>
      <x:c r="D256" s="7">
        <x:v>1.5920000000000001</x:v>
      </x:c>
      <x:c r="E256" s="8"/>
      <x:c r="F256" s="4" t="s">
        <x:v>38</x:v>
      </x:c>
      <x:c r="G256" s="9" t="s">
        <x:v>39</x:v>
      </x:c>
    </x:row>
    <x:row r="257" ht="39.5" customHeight="1">
      <x:c r="A257" s="4" t="s">
        <x:v>7</x:v>
      </x:c>
      <x:c r="B257" s="5">
        <x:v>298.14999999999998</x:v>
      </x:c>
      <x:c r="C257" s="6">
        <x:v>5</x:v>
      </x:c>
      <x:c r="D257" s="7">
        <x:v>1.59</x:v>
      </x:c>
      <x:c r="E257" s="8"/>
      <x:c r="F257" s="4" t="s">
        <x:v>38</x:v>
      </x:c>
      <x:c r="G257" s="9" t="s">
        <x:v>39</x:v>
      </x:c>
    </x:row>
  </x:sheetData>
  <x:conditionalFormatting sqref="A2:G257">
    <x:cfRule type="expression" dxfId="1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c41b77dc4045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5" customWidth="1"/>
    <x:col min="2" max="2" width="37.5" customWidth="1"/>
    <x:col min="3" max="4" width="13.75" customWidth="1"/>
    <x:col min="5" max="6" width="18.1640625" customWidth="1"/>
    <x:col min="7" max="7" width="25.25" customWidth="1"/>
    <x:col min="8" max="8" width="26.6640625" customWidth="1"/>
    <x:col min="9" max="9" width="65" customWidth="1"/>
  </x:cols>
  <x:sheetData>
    <x:row r="1" ht="28.5" customHeight="1">
      <x:c r="A1" s="1" t="s">
        <x:v>0</x:v>
      </x:c>
      <x:c r="B1" s="2" t="s">
        <x:v>5</x:v>
      </x:c>
      <x:c r="C1" s="2" t="s">
        <x:v>4</x:v>
      </x:c>
      <x:c r="D1" s="2" t="s">
        <x:v>40</x:v>
      </x:c>
      <x:c r="E1" s="2" t="s">
        <x:v>41</x:v>
      </x:c>
      <x:c r="F1" s="2" t="s">
        <x:v>42</x:v>
      </x:c>
      <x:c r="G1" s="2" t="s">
        <x:v>43</x:v>
      </x:c>
      <x:c r="H1" s="2" t="s">
        <x:v>44</x:v>
      </x:c>
      <x:c r="I1" s="3" t="s">
        <x:v>6</x:v>
      </x:c>
    </x:row>
    <x:row r="2" ht="15" customHeight="1">
      <x:c r="A2" s="4" t="s">
        <x:v>7</x:v>
      </x:c>
      <x:c r="B2" s="4" t="s">
        <x:v>8</x:v>
      </x:c>
      <x:c r="C2" s="8">
        <x:v>6</x:v>
      </x:c>
      <x:c r="D2" s="8" t="n">
        <x:f>COUNTIF(Confirmed_Records!$F$2:$F$257,B2)</x:f>
        <x:v>8</x:v>
      </x:c>
      <x:c r="E2" s="5" t="n">
        <x:f ca="1">SUMPRODUCT(MIN(('Confirmed_Records'!$F$2:$F$257&lt;&gt;B2)*1000000+'Confirmed_Records'!$B$2:$B$257))</x:f>
        <x:v>298.15</x:v>
      </x:c>
      <x:c r="F2" s="5" t="n">
        <x:f ca="1">SUMPRODUCT(MAX(('Confirmed_Records'!$F$2:$F$257=B2)*'Confirmed_Records'!$B$2:$B$257))</x:f>
        <x:v>298.15</x:v>
      </x:c>
      <x:c r="G2" s="6" t="n">
        <x:f ca="1">SUMPRODUCT(MIN(('Confirmed_Records'!$F$2:$F$257&lt;&gt;B2)*1000000+'Confirmed_Records'!$C$2:$C$257))</x:f>
        <x:v>0.5</x:v>
      </x:c>
      <x:c r="H2" s="6" t="n">
        <x:f ca="1">SUMPRODUCT(MAX(('Confirmed_Records'!$F$2:$F$257=B2)*'Confirmed_Records'!$C$2:$C$257))</x:f>
        <x:v>5</x:v>
      </x:c>
      <x:c r="I2" s="9" t="s">
        <x:v>9</x:v>
      </x:c>
    </x:row>
    <x:row r="3" ht="15" customHeight="1">
      <x:c r="A3" s="4" t="s">
        <x:v>7</x:v>
      </x:c>
      <x:c r="B3" s="4" t="s">
        <x:v>10</x:v>
      </x:c>
      <x:c r="C3" s="8">
        <x:v>7</x:v>
      </x:c>
      <x:c r="D3" s="8" t="n">
        <x:f>COUNTIF(Confirmed_Records!$F$2:$F$257,B3)</x:f>
        <x:v>2</x:v>
      </x:c>
      <x:c r="E3" s="5" t="n">
        <x:f ca="1">SUMPRODUCT(MIN(('Confirmed_Records'!$F$2:$F$257&lt;&gt;B3)*1000000+'Confirmed_Records'!$B$2:$B$257))</x:f>
        <x:v>298.15</x:v>
      </x:c>
      <x:c r="F3" s="5" t="n">
        <x:f ca="1">SUMPRODUCT(MAX(('Confirmed_Records'!$F$2:$F$257=B3)*'Confirmed_Records'!$B$2:$B$257))</x:f>
        <x:v>298.15</x:v>
      </x:c>
      <x:c r="G3" s="6" t="n">
        <x:f ca="1">SUMPRODUCT(MIN(('Confirmed_Records'!$F$2:$F$257&lt;&gt;B3)*1000000+'Confirmed_Records'!$C$2:$C$257))</x:f>
        <x:v>0.3907</x:v>
      </x:c>
      <x:c r="H3" s="6" t="n">
        <x:f ca="1">SUMPRODUCT(MAX(('Confirmed_Records'!$F$2:$F$257=B3)*'Confirmed_Records'!$C$2:$C$257))</x:f>
        <x:v>1.1313</x:v>
      </x:c>
      <x:c r="I3" s="9" t="s">
        <x:v>11</x:v>
      </x:c>
    </x:row>
    <x:row r="4" ht="15" customHeight="1">
      <x:c r="A4" s="4" t="s">
        <x:v>7</x:v>
      </x:c>
      <x:c r="B4" s="4" t="s">
        <x:v>12</x:v>
      </x:c>
      <x:c r="C4" s="8">
        <x:v>20</x:v>
      </x:c>
      <x:c r="D4" s="8" t="n">
        <x:f>COUNTIF(Confirmed_Records!$F$2:$F$257,B4)</x:f>
        <x:v>10</x:v>
      </x:c>
      <x:c r="E4" s="5" t="n">
        <x:f ca="1">SUMPRODUCT(MIN(('Confirmed_Records'!$F$2:$F$257&lt;&gt;B4)*1000000+'Confirmed_Records'!$B$2:$B$257))</x:f>
        <x:v>298.15</x:v>
      </x:c>
      <x:c r="F4" s="5" t="n">
        <x:f ca="1">SUMPRODUCT(MAX(('Confirmed_Records'!$F$2:$F$257=B4)*'Confirmed_Records'!$B$2:$B$257))</x:f>
        <x:v>298.15</x:v>
      </x:c>
      <x:c r="G4" s="6" t="n">
        <x:f ca="1">SUMPRODUCT(MIN(('Confirmed_Records'!$F$2:$F$257&lt;&gt;B4)*1000000+'Confirmed_Records'!$C$2:$C$257))</x:f>
        <x:v>0.0007</x:v>
      </x:c>
      <x:c r="H4" s="6" t="n">
        <x:f ca="1">SUMPRODUCT(MAX(('Confirmed_Records'!$F$2:$F$257=B4)*'Confirmed_Records'!$C$2:$C$257))</x:f>
        <x:v>0.01</x:v>
      </x:c>
      <x:c r="I4" s="9" t="s">
        <x:v>13</x:v>
      </x:c>
    </x:row>
    <x:row r="5" ht="15" customHeight="1">
      <x:c r="A5" s="4" t="s">
        <x:v>7</x:v>
      </x:c>
      <x:c r="B5" s="4" t="s">
        <x:v>14</x:v>
      </x:c>
      <x:c r="C5" s="8">
        <x:v>21</x:v>
      </x:c>
      <x:c r="D5" s="8" t="n">
        <x:f>COUNTIF(Confirmed_Records!$F$2:$F$257,B5)</x:f>
        <x:v>22</x:v>
      </x:c>
      <x:c r="E5" s="5" t="n">
        <x:f ca="1">SUMPRODUCT(MIN(('Confirmed_Records'!$F$2:$F$257&lt;&gt;B5)*1000000+'Confirmed_Records'!$B$2:$B$257))</x:f>
        <x:v>298.15</x:v>
      </x:c>
      <x:c r="F5" s="5" t="n">
        <x:f ca="1">SUMPRODUCT(MAX(('Confirmed_Records'!$F$2:$F$257=B5)*'Confirmed_Records'!$B$2:$B$257))</x:f>
        <x:v>298.15</x:v>
      </x:c>
      <x:c r="G5" s="6" t="n">
        <x:f ca="1">SUMPRODUCT(MIN(('Confirmed_Records'!$F$2:$F$257&lt;&gt;B5)*1000000+'Confirmed_Records'!$C$2:$C$257))</x:f>
        <x:v>0.1</x:v>
      </x:c>
      <x:c r="H5" s="6" t="n">
        <x:f ca="1">SUMPRODUCT(MAX(('Confirmed_Records'!$F$2:$F$257=B5)*'Confirmed_Records'!$C$2:$C$257))</x:f>
        <x:v>5.4</x:v>
      </x:c>
      <x:c r="I5" s="9" t="s">
        <x:v>15</x:v>
      </x:c>
    </x:row>
    <x:row r="6" ht="15" customHeight="1">
      <x:c r="A6" s="4" t="s">
        <x:v>7</x:v>
      </x:c>
      <x:c r="B6" s="4" t="s">
        <x:v>16</x:v>
      </x:c>
      <x:c r="C6" s="8">
        <x:v>29</x:v>
      </x:c>
      <x:c r="D6" s="8" t="n">
        <x:f>COUNTIF(Confirmed_Records!$F$2:$F$257,B6)</x:f>
        <x:v>11</x:v>
      </x:c>
      <x:c r="E6" s="5" t="n">
        <x:f ca="1">SUMPRODUCT(MIN(('Confirmed_Records'!$F$2:$F$257&lt;&gt;B6)*1000000+'Confirmed_Records'!$B$2:$B$257))</x:f>
        <x:v>298.15</x:v>
      </x:c>
      <x:c r="F6" s="5" t="n">
        <x:f ca="1">SUMPRODUCT(MAX(('Confirmed_Records'!$F$2:$F$257=B6)*'Confirmed_Records'!$B$2:$B$257))</x:f>
        <x:v>298.15</x:v>
      </x:c>
      <x:c r="G6" s="6" t="n">
        <x:f ca="1">SUMPRODUCT(MIN(('Confirmed_Records'!$F$2:$F$257&lt;&gt;B6)*1000000+'Confirmed_Records'!$C$2:$C$257))</x:f>
        <x:v>0.0007</x:v>
      </x:c>
      <x:c r="H6" s="6" t="n">
        <x:f ca="1">SUMPRODUCT(MAX(('Confirmed_Records'!$F$2:$F$257=B6)*'Confirmed_Records'!$C$2:$C$257))</x:f>
        <x:v>0.0147</x:v>
      </x:c>
      <x:c r="I6" s="9" t="s">
        <x:v>17</x:v>
      </x:c>
    </x:row>
    <x:row r="7" ht="26.399999618530273" customHeight="1">
      <x:c r="A7" s="4" t="s">
        <x:v>7</x:v>
      </x:c>
      <x:c r="B7" s="4" t="s">
        <x:v>18</x:v>
      </x:c>
      <x:c r="C7" s="8">
        <x:v>44</x:v>
      </x:c>
      <x:c r="D7" s="8" t="n">
        <x:f>COUNTIF(Confirmed_Records!$F$2:$F$257,B7)</x:f>
        <x:v>6</x:v>
      </x:c>
      <x:c r="E7" s="5" t="n">
        <x:f ca="1">SUMPRODUCT(MIN(('Confirmed_Records'!$F$2:$F$257&lt;&gt;B7)*1000000+'Confirmed_Records'!$B$2:$B$257))</x:f>
        <x:v>298.15</x:v>
      </x:c>
      <x:c r="F7" s="5" t="n">
        <x:f ca="1">SUMPRODUCT(MAX(('Confirmed_Records'!$F$2:$F$257=B7)*'Confirmed_Records'!$B$2:$B$257))</x:f>
        <x:v>298.15</x:v>
      </x:c>
      <x:c r="G7" s="6" t="n">
        <x:f ca="1">SUMPRODUCT(MIN(('Confirmed_Records'!$F$2:$F$257&lt;&gt;B7)*1000000+'Confirmed_Records'!$C$2:$C$257))</x:f>
        <x:v>0.1</x:v>
      </x:c>
      <x:c r="H7" s="6" t="n">
        <x:f ca="1">SUMPRODUCT(MAX(('Confirmed_Records'!$F$2:$F$257=B7)*'Confirmed_Records'!$C$2:$C$257))</x:f>
        <x:v>4</x:v>
      </x:c>
      <x:c r="I7" s="9" t="s">
        <x:v>19</x:v>
      </x:c>
    </x:row>
    <x:row r="8" ht="15" customHeight="1">
      <x:c r="A8" s="4" t="s">
        <x:v>7</x:v>
      </x:c>
      <x:c r="B8" s="4" t="s">
        <x:v>20</x:v>
      </x:c>
      <x:c r="C8" s="8">
        <x:v>67</x:v>
      </x:c>
      <x:c r="D8" s="8" t="n">
        <x:f>COUNTIF(Confirmed_Records!$F$2:$F$257,B8)</x:f>
        <x:v>15</x:v>
      </x:c>
      <x:c r="E8" s="5" t="n">
        <x:f ca="1">SUMPRODUCT(MIN(('Confirmed_Records'!$F$2:$F$257&lt;&gt;B8)*1000000+'Confirmed_Records'!$B$2:$B$257))</x:f>
        <x:v>298.15</x:v>
      </x:c>
      <x:c r="F8" s="5" t="n">
        <x:f ca="1">SUMPRODUCT(MAX(('Confirmed_Records'!$F$2:$F$257=B8)*'Confirmed_Records'!$B$2:$B$257))</x:f>
        <x:v>298.15</x:v>
      </x:c>
      <x:c r="G8" s="6" t="n">
        <x:f ca="1">SUMPRODUCT(MIN(('Confirmed_Records'!$F$2:$F$257&lt;&gt;B8)*1000000+'Confirmed_Records'!$C$2:$C$257))</x:f>
        <x:v>0.0001</x:v>
      </x:c>
      <x:c r="H8" s="6" t="n">
        <x:f ca="1">SUMPRODUCT(MAX(('Confirmed_Records'!$F$2:$F$257=B8)*'Confirmed_Records'!$C$2:$C$257))</x:f>
        <x:v>3</x:v>
      </x:c>
      <x:c r="I8" s="9" t="s">
        <x:v>21</x:v>
      </x:c>
    </x:row>
    <x:row r="9" ht="15" customHeight="1">
      <x:c r="A9" s="4" t="s">
        <x:v>7</x:v>
      </x:c>
      <x:c r="B9" s="4" t="s">
        <x:v>22</x:v>
      </x:c>
      <x:c r="C9" s="8">
        <x:v>71</x:v>
      </x:c>
      <x:c r="D9" s="8" t="n">
        <x:f>COUNTIF(Confirmed_Records!$F$2:$F$257,B9)</x:f>
        <x:v>4</x:v>
      </x:c>
      <x:c r="E9" s="5" t="n">
        <x:f ca="1">SUMPRODUCT(MIN(('Confirmed_Records'!$F$2:$F$257&lt;&gt;B9)*1000000+'Confirmed_Records'!$B$2:$B$257))</x:f>
        <x:v>298.15</x:v>
      </x:c>
      <x:c r="F9" s="5" t="n">
        <x:f ca="1">SUMPRODUCT(MAX(('Confirmed_Records'!$F$2:$F$257=B9)*'Confirmed_Records'!$B$2:$B$257))</x:f>
        <x:v>298.15</x:v>
      </x:c>
      <x:c r="G9" s="6" t="n">
        <x:f ca="1">SUMPRODUCT(MIN(('Confirmed_Records'!$F$2:$F$257&lt;&gt;B9)*1000000+'Confirmed_Records'!$C$2:$C$257))</x:f>
        <x:v>0.00002</x:v>
      </x:c>
      <x:c r="H9" s="6" t="n">
        <x:f ca="1">SUMPRODUCT(MAX(('Confirmed_Records'!$F$2:$F$257=B9)*'Confirmed_Records'!$C$2:$C$257))</x:f>
        <x:v>0.002</x:v>
      </x:c>
      <x:c r="I9" s="9" t="s">
        <x:v>23</x:v>
      </x:c>
    </x:row>
    <x:row r="10" ht="15" customHeight="1">
      <x:c r="A10" s="4" t="s">
        <x:v>7</x:v>
      </x:c>
      <x:c r="B10" s="4" t="s">
        <x:v>24</x:v>
      </x:c>
      <x:c r="C10" s="8">
        <x:v>82</x:v>
      </x:c>
      <x:c r="D10" s="8" t="n">
        <x:f>COUNTIF(Confirmed_Records!$F$2:$F$257,B10)</x:f>
        <x:v>15</x:v>
      </x:c>
      <x:c r="E10" s="5" t="n">
        <x:f ca="1">SUMPRODUCT(MIN(('Confirmed_Records'!$F$2:$F$257&lt;&gt;B10)*1000000+'Confirmed_Records'!$B$2:$B$257))</x:f>
        <x:v>291.15</x:v>
      </x:c>
      <x:c r="F10" s="5" t="n">
        <x:f ca="1">SUMPRODUCT(MAX(('Confirmed_Records'!$F$2:$F$257=B10)*'Confirmed_Records'!$B$2:$B$257))</x:f>
        <x:v>291.15</x:v>
      </x:c>
      <x:c r="G10" s="6" t="n">
        <x:f ca="1">SUMPRODUCT(MIN(('Confirmed_Records'!$F$2:$F$257&lt;&gt;B10)*1000000+'Confirmed_Records'!$C$2:$C$257))</x:f>
        <x:v>0.05</x:v>
      </x:c>
      <x:c r="H10" s="6" t="n">
        <x:f ca="1">SUMPRODUCT(MAX(('Confirmed_Records'!$F$2:$F$257=B10)*'Confirmed_Records'!$C$2:$C$257))</x:f>
        <x:v>5</x:v>
      </x:c>
      <x:c r="I10" s="9" t="s">
        <x:v>25</x:v>
      </x:c>
    </x:row>
    <x:row r="11" ht="15" customHeight="1">
      <x:c r="A11" s="4" t="s">
        <x:v>7</x:v>
      </x:c>
      <x:c r="B11" s="4" t="s">
        <x:v>26</x:v>
      </x:c>
      <x:c r="C11" s="8">
        <x:v>84</x:v>
      </x:c>
      <x:c r="D11" s="8" t="n">
        <x:f>COUNTIF(Confirmed_Records!$F$2:$F$257,B11)</x:f>
        <x:v>13</x:v>
      </x:c>
      <x:c r="E11" s="5" t="n">
        <x:f ca="1">SUMPRODUCT(MIN(('Confirmed_Records'!$F$2:$F$257&lt;&gt;B11)*1000000+'Confirmed_Records'!$B$2:$B$257))</x:f>
        <x:v>298.15</x:v>
      </x:c>
      <x:c r="F11" s="5" t="n">
        <x:f ca="1">SUMPRODUCT(MAX(('Confirmed_Records'!$F$2:$F$257=B11)*'Confirmed_Records'!$B$2:$B$257))</x:f>
        <x:v>298.15</x:v>
      </x:c>
      <x:c r="G11" s="6" t="n">
        <x:f ca="1">SUMPRODUCT(MIN(('Confirmed_Records'!$F$2:$F$257&lt;&gt;B11)*1000000+'Confirmed_Records'!$C$2:$C$257))</x:f>
        <x:v>0.05</x:v>
      </x:c>
      <x:c r="H11" s="6" t="n">
        <x:f ca="1">SUMPRODUCT(MAX(('Confirmed_Records'!$F$2:$F$257=B11)*'Confirmed_Records'!$C$2:$C$257))</x:f>
        <x:v>4</x:v>
      </x:c>
      <x:c r="I11" s="9" t="s">
        <x:v>27</x:v>
      </x:c>
    </x:row>
    <x:row r="12" ht="15" customHeight="1">
      <x:c r="A12" s="4" t="s">
        <x:v>7</x:v>
      </x:c>
      <x:c r="B12" s="4" t="s">
        <x:v>28</x:v>
      </x:c>
      <x:c r="C12" s="8">
        <x:v>86</x:v>
      </x:c>
      <x:c r="D12" s="8" t="n">
        <x:f>COUNTIF(Confirmed_Records!$F$2:$F$257,B12)</x:f>
        <x:v>3</x:v>
      </x:c>
      <x:c r="E12" s="5" t="n">
        <x:f ca="1">SUMPRODUCT(MIN(('Confirmed_Records'!$F$2:$F$257&lt;&gt;B12)*1000000+'Confirmed_Records'!$B$2:$B$257))</x:f>
        <x:v>298.15</x:v>
      </x:c>
      <x:c r="F12" s="5" t="n">
        <x:f ca="1">SUMPRODUCT(MAX(('Confirmed_Records'!$F$2:$F$257=B12)*'Confirmed_Records'!$B$2:$B$257))</x:f>
        <x:v>298.15</x:v>
      </x:c>
      <x:c r="G12" s="6" t="n">
        <x:f ca="1">SUMPRODUCT(MIN(('Confirmed_Records'!$F$2:$F$257&lt;&gt;B12)*1000000+'Confirmed_Records'!$C$2:$C$257))</x:f>
        <x:v>0.1</x:v>
      </x:c>
      <x:c r="H12" s="6" t="n">
        <x:f ca="1">SUMPRODUCT(MAX(('Confirmed_Records'!$F$2:$F$257=B12)*'Confirmed_Records'!$C$2:$C$257))</x:f>
        <x:v>1</x:v>
      </x:c>
      <x:c r="I12" s="9" t="s">
        <x:v>29</x:v>
      </x:c>
    </x:row>
    <x:row r="13" ht="15" customHeight="1">
      <x:c r="A13" s="4" t="s">
        <x:v>7</x:v>
      </x:c>
      <x:c r="B13" s="4" t="s">
        <x:v>30</x:v>
      </x:c>
      <x:c r="C13" s="8">
        <x:v>88</x:v>
      </x:c>
      <x:c r="D13" s="8" t="n">
        <x:f>COUNTIF(Confirmed_Records!$F$2:$F$257,B13)</x:f>
        <x:v>69</x:v>
      </x:c>
      <x:c r="E13" s="5" t="n">
        <x:f ca="1">SUMPRODUCT(MIN(('Confirmed_Records'!$F$2:$F$257&lt;&gt;B13)*1000000+'Confirmed_Records'!$B$2:$B$257))</x:f>
        <x:v>273.15</x:v>
      </x:c>
      <x:c r="F13" s="5" t="n">
        <x:f ca="1">SUMPRODUCT(MAX(('Confirmed_Records'!$F$2:$F$257=B13)*'Confirmed_Records'!$B$2:$B$257))</x:f>
        <x:v>323.15</x:v>
      </x:c>
      <x:c r="G13" s="6" t="n">
        <x:f ca="1">SUMPRODUCT(MIN(('Confirmed_Records'!$F$2:$F$257&lt;&gt;B13)*1000000+'Confirmed_Records'!$C$2:$C$257))</x:f>
        <x:v>0.0698</x:v>
      </x:c>
      <x:c r="H13" s="6" t="n">
        <x:f ca="1">SUMPRODUCT(MAX(('Confirmed_Records'!$F$2:$F$257=B13)*'Confirmed_Records'!$C$2:$C$257))</x:f>
        <x:v>4.9585</x:v>
      </x:c>
      <x:c r="I13" s="9" t="s">
        <x:v>31</x:v>
      </x:c>
    </x:row>
    <x:row r="14" ht="26.399999618530273" customHeight="1">
      <x:c r="A14" s="4" t="s">
        <x:v>7</x:v>
      </x:c>
      <x:c r="B14" s="4" t="s">
        <x:v>32</x:v>
      </x:c>
      <x:c r="C14" s="8"/>
      <x:c r="D14" s="8" t="n">
        <x:f>COUNTIF(Confirmed_Records!$F$2:$F$257,B14)</x:f>
        <x:v>1</x:v>
      </x:c>
      <x:c r="E14" s="5" t="n">
        <x:f ca="1">SUMPRODUCT(MIN(('Confirmed_Records'!$F$2:$F$257&lt;&gt;B14)*1000000+'Confirmed_Records'!$B$2:$B$257))</x:f>
        <x:v>298.15</x:v>
      </x:c>
      <x:c r="F14" s="5" t="n">
        <x:f ca="1">SUMPRODUCT(MAX(('Confirmed_Records'!$F$2:$F$257=B14)*'Confirmed_Records'!$B$2:$B$257))</x:f>
        <x:v>298.15</x:v>
      </x:c>
      <x:c r="G14" s="6" t="n">
        <x:f ca="1">SUMPRODUCT(MIN(('Confirmed_Records'!$F$2:$F$257&lt;&gt;B14)*1000000+'Confirmed_Records'!$C$2:$C$257))</x:f>
        <x:v>0</x:v>
      </x:c>
      <x:c r="H14" s="6" t="n">
        <x:f ca="1">SUMPRODUCT(MAX(('Confirmed_Records'!$F$2:$F$257=B14)*'Confirmed_Records'!$C$2:$C$257))</x:f>
        <x:v>0</x:v>
      </x:c>
      <x:c r="I14" s="9" t="s">
        <x:v>33</x:v>
      </x:c>
    </x:row>
    <x:row r="15" ht="39.5" customHeight="1">
      <x:c r="A15" s="4" t="s">
        <x:v>7</x:v>
      </x:c>
      <x:c r="B15" s="4" t="s">
        <x:v>34</x:v>
      </x:c>
      <x:c r="C15" s="8"/>
      <x:c r="D15" s="8" t="n">
        <x:f>COUNTIF(Confirmed_Records!$F$2:$F$257,B15)</x:f>
        <x:v>31</x:v>
      </x:c>
      <x:c r="E15" s="5" t="n">
        <x:f ca="1">SUMPRODUCT(MIN(('Confirmed_Records'!$F$2:$F$257&lt;&gt;B15)*1000000+'Confirmed_Records'!$B$2:$B$257))</x:f>
        <x:v>298.15</x:v>
      </x:c>
      <x:c r="F15" s="5" t="n">
        <x:f ca="1">SUMPRODUCT(MAX(('Confirmed_Records'!$F$2:$F$257=B15)*'Confirmed_Records'!$B$2:$B$257))</x:f>
        <x:v>353.15</x:v>
      </x:c>
      <x:c r="G15" s="6" t="n">
        <x:f ca="1">SUMPRODUCT(MIN(('Confirmed_Records'!$F$2:$F$257&lt;&gt;B15)*1000000+'Confirmed_Records'!$C$2:$C$257))</x:f>
        <x:v>0.001377</x:v>
      </x:c>
      <x:c r="H15" s="6" t="n">
        <x:f ca="1">SUMPRODUCT(MAX(('Confirmed_Records'!$F$2:$F$257=B15)*'Confirmed_Records'!$C$2:$C$257))</x:f>
        <x:v>0.009058</x:v>
      </x:c>
      <x:c r="I15" s="9" t="s">
        <x:v>35</x:v>
      </x:c>
    </x:row>
    <x:row r="16" ht="26.399999618530273" customHeight="1">
      <x:c r="A16" s="4" t="s">
        <x:v>7</x:v>
      </x:c>
      <x:c r="B16" s="4" t="s">
        <x:v>36</x:v>
      </x:c>
      <x:c r="C16" s="8"/>
      <x:c r="D16" s="8" t="n">
        <x:f>COUNTIF(Confirmed_Records!$F$2:$F$257,B16)</x:f>
        <x:v>26</x:v>
      </x:c>
      <x:c r="E16" s="5" t="n">
        <x:f ca="1">SUMPRODUCT(MIN(('Confirmed_Records'!$F$2:$F$257&lt;&gt;B16)*1000000+'Confirmed_Records'!$B$2:$B$257))</x:f>
        <x:v>298.15</x:v>
      </x:c>
      <x:c r="F16" s="5" t="n">
        <x:f ca="1">SUMPRODUCT(MAX(('Confirmed_Records'!$F$2:$F$257=B16)*'Confirmed_Records'!$B$2:$B$257))</x:f>
        <x:v>298.15</x:v>
      </x:c>
      <x:c r="G16" s="6" t="n">
        <x:f ca="1">SUMPRODUCT(MIN(('Confirmed_Records'!$F$2:$F$257&lt;&gt;B16)*1000000+'Confirmed_Records'!$C$2:$C$257))</x:f>
        <x:v>0.017979</x:v>
      </x:c>
      <x:c r="H16" s="6" t="n">
        <x:f ca="1">SUMPRODUCT(MAX(('Confirmed_Records'!$F$2:$F$257=B16)*'Confirmed_Records'!$C$2:$C$257))</x:f>
        <x:v>5.3195</x:v>
      </x:c>
      <x:c r="I16" s="9" t="s">
        <x:v>37</x:v>
      </x:c>
    </x:row>
    <x:row r="17" ht="39.5" customHeight="1">
      <x:c r="A17" s="4" t="s">
        <x:v>7</x:v>
      </x:c>
      <x:c r="B17" s="4" t="s">
        <x:v>38</x:v>
      </x:c>
      <x:c r="C17" s="8"/>
      <x:c r="D17" s="8" t="n">
        <x:f>COUNTIF(Confirmed_Records!$F$2:$F$257,B17)</x:f>
        <x:v>20</x:v>
      </x:c>
      <x:c r="E17" s="5" t="n">
        <x:f ca="1">SUMPRODUCT(MIN(('Confirmed_Records'!$F$2:$F$257&lt;&gt;B17)*1000000+'Confirmed_Records'!$B$2:$B$257))</x:f>
        <x:v>298.15</x:v>
      </x:c>
      <x:c r="F17" s="5" t="n">
        <x:f ca="1">SUMPRODUCT(MAX(('Confirmed_Records'!$F$2:$F$257=B17)*'Confirmed_Records'!$B$2:$B$257))</x:f>
        <x:v>298.15</x:v>
      </x:c>
      <x:c r="G17" s="6" t="n">
        <x:f ca="1">SUMPRODUCT(MIN(('Confirmed_Records'!$F$2:$F$257&lt;&gt;B17)*1000000+'Confirmed_Records'!$C$2:$C$257))</x:f>
        <x:v>0.02715</x:v>
      </x:c>
      <x:c r="H17" s="6" t="n">
        <x:f ca="1">SUMPRODUCT(MAX(('Confirmed_Records'!$F$2:$F$257=B17)*'Confirmed_Records'!$C$2:$C$257))</x:f>
        <x:v>5</x:v>
      </x:c>
      <x:c r="I17" s="9" t="s">
        <x:v>39</x:v>
      </x:c>
    </x:row>
  </x:sheetData>
  <x:conditionalFormatting sqref="A2:I17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e924fee72546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5" customWidth="1"/>
    <x:col min="3" max="5" width="18.1640625" customWidth="1"/>
    <x:col min="6" max="6" width="32.5" customWidth="1"/>
    <x:col min="7" max="7" width="18" customWidth="1"/>
    <x:col min="8" max="8" width="32.5" customWidth="1"/>
    <x:col min="9" max="10" width="42.5" customWidth="1"/>
    <x:col min="11" max="11" width="16.9140625" customWidth="1"/>
    <x:col min="12" max="12" width="22.5" customWidth="1"/>
    <x:col min="13" max="13" width="27" customWidth="1"/>
  </x:cols>
  <x:sheetData>
    <x:row r="1" ht="28.5" customHeight="1">
      <x:c r="A1" s="1" t="s">
        <x:v>45</x:v>
      </x:c>
      <x:c r="B1" s="2" t="s">
        <x:v>0</x:v>
      </x:c>
      <x:c r="C1" s="2" t="s">
        <x:v>1</x:v>
      </x:c>
      <x:c r="D1" s="2" t="s">
        <x:v>2</x:v>
      </x:c>
      <x:c r="E1" s="2" t="s">
        <x:v>3</x:v>
      </x:c>
      <x:c r="F1" s="2" t="s">
        <x:v>5</x:v>
      </x:c>
      <x:c r="G1" s="2" t="s">
        <x:v>46</x:v>
      </x:c>
      <x:c r="H1" s="2" t="s">
        <x:v>47</x:v>
      </x:c>
      <x:c r="I1" s="2" t="s">
        <x:v>48</x:v>
      </x:c>
      <x:c r="J1" s="2" t="s">
        <x:v>6</x:v>
      </x:c>
      <x:c r="K1" s="2" t="s">
        <x:v>49</x:v>
      </x:c>
      <x:c r="L1" s="2" t="s">
        <x:v>50</x:v>
      </x:c>
      <x:c r="M1" s="3" t="s">
        <x:v>51</x:v>
      </x:c>
    </x:row>
    <x:row r="2" ht="26.399999618530273" customHeight="1">
      <x:c r="A2" s="4" t="s">
        <x:v>52</x:v>
      </x:c>
      <x:c r="B2" s="4" t="s">
        <x:v>7</x:v>
      </x:c>
      <x:c r="C2" s="5">
        <x:v>298.14999999999998</x:v>
      </x:c>
      <x:c r="D2" s="6">
        <x:v>1.7978999999999998E-2</x:v>
      </x:c>
      <x:c r="E2" s="7">
        <x:v>1.5315000000000001</x:v>
      </x:c>
      <x:c r="F2" s="4" t="s">
        <x:v>36</x:v>
      </x:c>
      <x:c r="G2" s="4" t="s">
        <x:v>53</x:v>
      </x:c>
      <x:c r="H2" s="4" t="s">
        <x:v>54</x:v>
      </x:c>
      <x:c r="I2" s="9" t="s">
        <x:v>55</x:v>
      </x:c>
      <x:c r="J2" s="9" t="s">
        <x:v>37</x:v>
      </x:c>
      <x:c r="K2" s="4" t="s">
        <x:v>56</x:v>
      </x:c>
      <x:c r="L2" s="9" t="s">
        <x:v>57</x:v>
      </x:c>
      <x:c r="M2" s="4"/>
    </x:row>
    <x:row r="3" ht="26.399999618530273" customHeight="1">
      <x:c r="A3" s="4" t="s">
        <x:v>58</x:v>
      </x:c>
      <x:c r="B3" s="4" t="s">
        <x:v>7</x:v>
      </x:c>
      <x:c r="C3" s="5">
        <x:v>298.14999999999998</x:v>
      </x:c>
      <x:c r="D3" s="6">
        <x:v>2.4822E-2</x:v>
      </x:c>
      <x:c r="E3" s="7">
        <x:v>1.5215000000000001</x:v>
      </x:c>
      <x:c r="F3" s="4" t="s">
        <x:v>36</x:v>
      </x:c>
      <x:c r="G3" s="4" t="s">
        <x:v>53</x:v>
      </x:c>
      <x:c r="H3" s="4" t="s">
        <x:v>54</x:v>
      </x:c>
      <x:c r="I3" s="9" t="s">
        <x:v>55</x:v>
      </x:c>
      <x:c r="J3" s="9" t="s">
        <x:v>37</x:v>
      </x:c>
      <x:c r="K3" s="4" t="s">
        <x:v>56</x:v>
      </x:c>
      <x:c r="L3" s="9" t="s">
        <x:v>57</x:v>
      </x:c>
      <x:c r="M3" s="4"/>
    </x:row>
    <x:row r="4" ht="26.399999618530273" customHeight="1">
      <x:c r="A4" s="4" t="s">
        <x:v>59</x:v>
      </x:c>
      <x:c r="B4" s="4" t="s">
        <x:v>7</x:v>
      </x:c>
      <x:c r="C4" s="5">
        <x:v>298.14999999999998</x:v>
      </x:c>
      <x:c r="D4" s="6">
        <x:v>4.9771999999999997E-2</x:v>
      </x:c>
      <x:c r="E4" s="7">
        <x:v>1.5044999999999999</x:v>
      </x:c>
      <x:c r="F4" s="4" t="s">
        <x:v>36</x:v>
      </x:c>
      <x:c r="G4" s="4" t="s">
        <x:v>53</x:v>
      </x:c>
      <x:c r="H4" s="4" t="s">
        <x:v>54</x:v>
      </x:c>
      <x:c r="I4" s="9" t="s">
        <x:v>55</x:v>
      </x:c>
      <x:c r="J4" s="9" t="s">
        <x:v>37</x:v>
      </x:c>
      <x:c r="K4" s="4" t="s">
        <x:v>56</x:v>
      </x:c>
      <x:c r="L4" s="9" t="s">
        <x:v>57</x:v>
      </x:c>
      <x:c r="M4" s="4"/>
    </x:row>
    <x:row r="5" ht="26.399999618530273" customHeight="1">
      <x:c r="A5" s="4" t="s">
        <x:v>60</x:v>
      </x:c>
      <x:c r="B5" s="4" t="s">
        <x:v>7</x:v>
      </x:c>
      <x:c r="C5" s="5">
        <x:v>298.14999999999998</x:v>
      </x:c>
      <x:c r="D5" s="6">
        <x:v>9.9482000000000001E-2</x:v>
      </x:c>
      <x:c r="E5" s="7">
        <x:v>1.4873000000000001</x:v>
      </x:c>
      <x:c r="F5" s="4" t="s">
        <x:v>36</x:v>
      </x:c>
      <x:c r="G5" s="4" t="s">
        <x:v>53</x:v>
      </x:c>
      <x:c r="H5" s="4" t="s">
        <x:v>54</x:v>
      </x:c>
      <x:c r="I5" s="9" t="s">
        <x:v>55</x:v>
      </x:c>
      <x:c r="J5" s="9" t="s">
        <x:v>37</x:v>
      </x:c>
      <x:c r="K5" s="4" t="s">
        <x:v>56</x:v>
      </x:c>
      <x:c r="L5" s="9" t="s">
        <x:v>57</x:v>
      </x:c>
      <x:c r="M5" s="4"/>
    </x:row>
    <x:row r="6" ht="26.399999618530273" customHeight="1">
      <x:c r="A6" s="4" t="s">
        <x:v>61</x:v>
      </x:c>
      <x:c r="B6" s="4" t="s">
        <x:v>7</x:v>
      </x:c>
      <x:c r="C6" s="5">
        <x:v>298.14999999999998</x:v>
      </x:c>
      <x:c r="D6" s="6">
        <x:v>0.19857</x:v>
      </x:c>
      <x:c r="E6" s="7">
        <x:v>1.4781</x:v>
      </x:c>
      <x:c r="F6" s="4" t="s">
        <x:v>36</x:v>
      </x:c>
      <x:c r="G6" s="4" t="s">
        <x:v>53</x:v>
      </x:c>
      <x:c r="H6" s="4" t="s">
        <x:v>54</x:v>
      </x:c>
      <x:c r="I6" s="9" t="s">
        <x:v>55</x:v>
      </x:c>
      <x:c r="J6" s="9" t="s">
        <x:v>37</x:v>
      </x:c>
      <x:c r="K6" s="4" t="s">
        <x:v>56</x:v>
      </x:c>
      <x:c r="L6" s="9" t="s">
        <x:v>57</x:v>
      </x:c>
      <x:c r="M6" s="4"/>
    </x:row>
    <x:row r="7" ht="26.399999618530273" customHeight="1">
      <x:c r="A7" s="4" t="s">
        <x:v>62</x:v>
      </x:c>
      <x:c r="B7" s="4" t="s">
        <x:v>7</x:v>
      </x:c>
      <x:c r="C7" s="5">
        <x:v>298.14999999999998</x:v>
      </x:c>
      <x:c r="D7" s="6">
        <x:v>0.29577999999999999</x:v>
      </x:c>
      <x:c r="E7" s="7">
        <x:v>1.4733000000000001</x:v>
      </x:c>
      <x:c r="F7" s="4" t="s">
        <x:v>36</x:v>
      </x:c>
      <x:c r="G7" s="4" t="s">
        <x:v>53</x:v>
      </x:c>
      <x:c r="H7" s="4" t="s">
        <x:v>54</x:v>
      </x:c>
      <x:c r="I7" s="9" t="s">
        <x:v>55</x:v>
      </x:c>
      <x:c r="J7" s="9" t="s">
        <x:v>37</x:v>
      </x:c>
      <x:c r="K7" s="4" t="s">
        <x:v>56</x:v>
      </x:c>
      <x:c r="L7" s="9" t="s">
        <x:v>57</x:v>
      </x:c>
      <x:c r="M7" s="4"/>
    </x:row>
    <x:row r="8" ht="26.399999618530273" customHeight="1">
      <x:c r="A8" s="4" t="s">
        <x:v>63</x:v>
      </x:c>
      <x:c r="B8" s="4" t="s">
        <x:v>7</x:v>
      </x:c>
      <x:c r="C8" s="5">
        <x:v>298.14999999999998</x:v>
      </x:c>
      <x:c r="D8" s="6">
        <x:v>0.39600999999999997</x:v>
      </x:c>
      <x:c r="E8" s="7">
        <x:v>1.4737</x:v>
      </x:c>
      <x:c r="F8" s="4" t="s">
        <x:v>36</x:v>
      </x:c>
      <x:c r="G8" s="4" t="s">
        <x:v>53</x:v>
      </x:c>
      <x:c r="H8" s="4" t="s">
        <x:v>54</x:v>
      </x:c>
      <x:c r="I8" s="9" t="s">
        <x:v>55</x:v>
      </x:c>
      <x:c r="J8" s="9" t="s">
        <x:v>37</x:v>
      </x:c>
      <x:c r="K8" s="4" t="s">
        <x:v>56</x:v>
      </x:c>
      <x:c r="L8" s="9" t="s">
        <x:v>57</x:v>
      </x:c>
      <x:c r="M8" s="4"/>
    </x:row>
    <x:row r="9" ht="26.399999618530273" customHeight="1">
      <x:c r="A9" s="4" t="s">
        <x:v>64</x:v>
      </x:c>
      <x:c r="B9" s="4" t="s">
        <x:v>7</x:v>
      </x:c>
      <x:c r="C9" s="5">
        <x:v>298.14999999999998</x:v>
      </x:c>
      <x:c r="D9" s="6">
        <x:v>0.68903000000000003</x:v>
      </x:c>
      <x:c r="E9" s="7">
        <x:v>1.4755</x:v>
      </x:c>
      <x:c r="F9" s="4" t="s">
        <x:v>36</x:v>
      </x:c>
      <x:c r="G9" s="4" t="s">
        <x:v>53</x:v>
      </x:c>
      <x:c r="H9" s="4" t="s">
        <x:v>54</x:v>
      </x:c>
      <x:c r="I9" s="9" t="s">
        <x:v>55</x:v>
      </x:c>
      <x:c r="J9" s="9" t="s">
        <x:v>37</x:v>
      </x:c>
      <x:c r="K9" s="4" t="s">
        <x:v>56</x:v>
      </x:c>
      <x:c r="L9" s="9" t="s">
        <x:v>57</x:v>
      </x:c>
      <x:c r="M9" s="4"/>
    </x:row>
    <x:row r="10" ht="26.399999618530273" customHeight="1">
      <x:c r="A10" s="4" t="s">
        <x:v>65</x:v>
      </x:c>
      <x:c r="B10" s="4" t="s">
        <x:v>7</x:v>
      </x:c>
      <x:c r="C10" s="5">
        <x:v>298.14999999999998</x:v>
      </x:c>
      <x:c r="D10" s="6">
        <x:v>0.97846999999999995</x:v>
      </x:c>
      <x:c r="E10" s="7">
        <x:v>1.4813000000000001</x:v>
      </x:c>
      <x:c r="F10" s="4" t="s">
        <x:v>36</x:v>
      </x:c>
      <x:c r="G10" s="4" t="s">
        <x:v>53</x:v>
      </x:c>
      <x:c r="H10" s="4" t="s">
        <x:v>54</x:v>
      </x:c>
      <x:c r="I10" s="9" t="s">
        <x:v>55</x:v>
      </x:c>
      <x:c r="J10" s="9" t="s">
        <x:v>37</x:v>
      </x:c>
      <x:c r="K10" s="4" t="s">
        <x:v>56</x:v>
      </x:c>
      <x:c r="L10" s="9" t="s">
        <x:v>57</x:v>
      </x:c>
      <x:c r="M10" s="4"/>
    </x:row>
    <x:row r="11" ht="26.399999618530273" customHeight="1">
      <x:c r="A11" s="4" t="s">
        <x:v>66</x:v>
      </x:c>
      <x:c r="B11" s="4" t="s">
        <x:v>7</x:v>
      </x:c>
      <x:c r="C11" s="5">
        <x:v>298.14999999999998</x:v>
      </x:c>
      <x:c r="D11" s="6">
        <x:v>1.3588</x:v>
      </x:c>
      <x:c r="E11" s="7">
        <x:v>1.4918</x:v>
      </x:c>
      <x:c r="F11" s="4" t="s">
        <x:v>36</x:v>
      </x:c>
      <x:c r="G11" s="4" t="s">
        <x:v>53</x:v>
      </x:c>
      <x:c r="H11" s="4" t="s">
        <x:v>54</x:v>
      </x:c>
      <x:c r="I11" s="9" t="s">
        <x:v>55</x:v>
      </x:c>
      <x:c r="J11" s="9" t="s">
        <x:v>37</x:v>
      </x:c>
      <x:c r="K11" s="4" t="s">
        <x:v>56</x:v>
      </x:c>
      <x:c r="L11" s="9" t="s">
        <x:v>57</x:v>
      </x:c>
      <x:c r="M11" s="4"/>
    </x:row>
    <x:row r="12" ht="26.399999618530273" customHeight="1">
      <x:c r="A12" s="4" t="s">
        <x:v>67</x:v>
      </x:c>
      <x:c r="B12" s="4" t="s">
        <x:v>7</x:v>
      </x:c>
      <x:c r="C12" s="5">
        <x:v>298.14999999999998</x:v>
      </x:c>
      <x:c r="D12" s="6">
        <x:v>1.4541999999999999</x:v>
      </x:c>
      <x:c r="E12" s="7">
        <x:v>1.4931000000000001</x:v>
      </x:c>
      <x:c r="F12" s="4" t="s">
        <x:v>36</x:v>
      </x:c>
      <x:c r="G12" s="4" t="s">
        <x:v>53</x:v>
      </x:c>
      <x:c r="H12" s="4" t="s">
        <x:v>54</x:v>
      </x:c>
      <x:c r="I12" s="9" t="s">
        <x:v>55</x:v>
      </x:c>
      <x:c r="J12" s="9" t="s">
        <x:v>37</x:v>
      </x:c>
      <x:c r="K12" s="4" t="s">
        <x:v>56</x:v>
      </x:c>
      <x:c r="L12" s="9" t="s">
        <x:v>57</x:v>
      </x:c>
      <x:c r="M12" s="4"/>
    </x:row>
    <x:row r="13" ht="26.399999618530273" customHeight="1">
      <x:c r="A13" s="4" t="s">
        <x:v>68</x:v>
      </x:c>
      <x:c r="B13" s="4" t="s">
        <x:v>7</x:v>
      </x:c>
      <x:c r="C13" s="5">
        <x:v>298.14999999999998</x:v>
      </x:c>
      <x:c r="D13" s="6">
        <x:v>1.9200999999999999</x:v>
      </x:c>
      <x:c r="E13" s="7">
        <x:v>1.5137</x:v>
      </x:c>
      <x:c r="F13" s="4" t="s">
        <x:v>36</x:v>
      </x:c>
      <x:c r="G13" s="4" t="s">
        <x:v>53</x:v>
      </x:c>
      <x:c r="H13" s="4" t="s">
        <x:v>54</x:v>
      </x:c>
      <x:c r="I13" s="9" t="s">
        <x:v>55</x:v>
      </x:c>
      <x:c r="J13" s="9" t="s">
        <x:v>37</x:v>
      </x:c>
      <x:c r="K13" s="4" t="s">
        <x:v>56</x:v>
      </x:c>
      <x:c r="L13" s="9" t="s">
        <x:v>57</x:v>
      </x:c>
      <x:c r="M13" s="4"/>
    </x:row>
    <x:row r="14" ht="26.399999618530273" customHeight="1">
      <x:c r="A14" s="4" t="s">
        <x:v>69</x:v>
      </x:c>
      <x:c r="B14" s="4" t="s">
        <x:v>7</x:v>
      </x:c>
      <x:c r="C14" s="5">
        <x:v>298.14999999999998</x:v>
      </x:c>
      <x:c r="D14" s="6">
        <x:v>2.1208999999999998</x:v>
      </x:c>
      <x:c r="E14" s="7">
        <x:v>1.52</x:v>
      </x:c>
      <x:c r="F14" s="4" t="s">
        <x:v>36</x:v>
      </x:c>
      <x:c r="G14" s="4" t="s">
        <x:v>53</x:v>
      </x:c>
      <x:c r="H14" s="4" t="s">
        <x:v>54</x:v>
      </x:c>
      <x:c r="I14" s="9" t="s">
        <x:v>55</x:v>
      </x:c>
      <x:c r="J14" s="9" t="s">
        <x:v>37</x:v>
      </x:c>
      <x:c r="K14" s="4" t="s">
        <x:v>56</x:v>
      </x:c>
      <x:c r="L14" s="9" t="s">
        <x:v>57</x:v>
      </x:c>
      <x:c r="M14" s="4"/>
    </x:row>
    <x:row r="15" ht="26.399999618530273" customHeight="1">
      <x:c r="A15" s="4" t="s">
        <x:v>70</x:v>
      </x:c>
      <x:c r="B15" s="4" t="s">
        <x:v>7</x:v>
      </x:c>
      <x:c r="C15" s="5">
        <x:v>298.14999999999998</x:v>
      </x:c>
      <x:c r="D15" s="6">
        <x:v>2.5983999999999998</x:v>
      </x:c>
      <x:c r="E15" s="7">
        <x:v>1.5401</x:v>
      </x:c>
      <x:c r="F15" s="4" t="s">
        <x:v>36</x:v>
      </x:c>
      <x:c r="G15" s="4" t="s">
        <x:v>53</x:v>
      </x:c>
      <x:c r="H15" s="4" t="s">
        <x:v>54</x:v>
      </x:c>
      <x:c r="I15" s="9" t="s">
        <x:v>55</x:v>
      </x:c>
      <x:c r="J15" s="9" t="s">
        <x:v>37</x:v>
      </x:c>
      <x:c r="K15" s="4" t="s">
        <x:v>56</x:v>
      </x:c>
      <x:c r="L15" s="9" t="s">
        <x:v>57</x:v>
      </x:c>
      <x:c r="M15" s="4"/>
    </x:row>
    <x:row r="16" ht="26.399999618530273" customHeight="1">
      <x:c r="A16" s="4" t="s">
        <x:v>71</x:v>
      </x:c>
      <x:c r="B16" s="4" t="s">
        <x:v>7</x:v>
      </x:c>
      <x:c r="C16" s="5">
        <x:v>298.14999999999998</x:v>
      </x:c>
      <x:c r="D16" s="6">
        <x:v>3.0798999999999999</x:v>
      </x:c>
      <x:c r="E16" s="7">
        <x:v>1.5593999999999999</x:v>
      </x:c>
      <x:c r="F16" s="4" t="s">
        <x:v>36</x:v>
      </x:c>
      <x:c r="G16" s="4" t="s">
        <x:v>53</x:v>
      </x:c>
      <x:c r="H16" s="4" t="s">
        <x:v>54</x:v>
      </x:c>
      <x:c r="I16" s="9" t="s">
        <x:v>55</x:v>
      </x:c>
      <x:c r="J16" s="9" t="s">
        <x:v>37</x:v>
      </x:c>
      <x:c r="K16" s="4" t="s">
        <x:v>56</x:v>
      </x:c>
      <x:c r="L16" s="9" t="s">
        <x:v>57</x:v>
      </x:c>
      <x:c r="M16" s="4"/>
    </x:row>
    <x:row r="17" ht="26.399999618530273" customHeight="1">
      <x:c r="A17" s="4" t="s">
        <x:v>72</x:v>
      </x:c>
      <x:c r="B17" s="4" t="s">
        <x:v>7</x:v>
      </x:c>
      <x:c r="C17" s="5">
        <x:v>298.14999999999998</x:v>
      </x:c>
      <x:c r="D17" s="6">
        <x:v>3.0808</x:v>
      </x:c>
      <x:c r="E17" s="7">
        <x:v>1.5593999999999999</x:v>
      </x:c>
      <x:c r="F17" s="4" t="s">
        <x:v>36</x:v>
      </x:c>
      <x:c r="G17" s="4" t="s">
        <x:v>53</x:v>
      </x:c>
      <x:c r="H17" s="4" t="s">
        <x:v>54</x:v>
      </x:c>
      <x:c r="I17" s="9" t="s">
        <x:v>55</x:v>
      </x:c>
      <x:c r="J17" s="9" t="s">
        <x:v>37</x:v>
      </x:c>
      <x:c r="K17" s="4" t="s">
        <x:v>56</x:v>
      </x:c>
      <x:c r="L17" s="9" t="s">
        <x:v>57</x:v>
      </x:c>
      <x:c r="M17" s="4"/>
    </x:row>
    <x:row r="18" ht="26.399999618530273" customHeight="1">
      <x:c r="A18" s="4" t="s">
        <x:v>73</x:v>
      </x:c>
      <x:c r="B18" s="4" t="s">
        <x:v>7</x:v>
      </x:c>
      <x:c r="C18" s="5">
        <x:v>298.14999999999998</x:v>
      </x:c>
      <x:c r="D18" s="6">
        <x:v>3.0823</x:v>
      </x:c>
      <x:c r="E18" s="7">
        <x:v>1.5598000000000001</x:v>
      </x:c>
      <x:c r="F18" s="4" t="s">
        <x:v>36</x:v>
      </x:c>
      <x:c r="G18" s="4" t="s">
        <x:v>53</x:v>
      </x:c>
      <x:c r="H18" s="4" t="s">
        <x:v>54</x:v>
      </x:c>
      <x:c r="I18" s="9" t="s">
        <x:v>55</x:v>
      </x:c>
      <x:c r="J18" s="9" t="s">
        <x:v>37</x:v>
      </x:c>
      <x:c r="K18" s="4" t="s">
        <x:v>56</x:v>
      </x:c>
      <x:c r="L18" s="9" t="s">
        <x:v>57</x:v>
      </x:c>
      <x:c r="M18" s="4"/>
    </x:row>
    <x:row r="19" ht="26.399999618530273" customHeight="1">
      <x:c r="A19" s="4" t="s">
        <x:v>74</x:v>
      </x:c>
      <x:c r="B19" s="4" t="s">
        <x:v>7</x:v>
      </x:c>
      <x:c r="C19" s="5">
        <x:v>298.14999999999998</x:v>
      </x:c>
      <x:c r="D19" s="6">
        <x:v>3.4226000000000001</x:v>
      </x:c>
      <x:c r="E19" s="7">
        <x:v>1.5726</x:v>
      </x:c>
      <x:c r="F19" s="4" t="s">
        <x:v>36</x:v>
      </x:c>
      <x:c r="G19" s="4" t="s">
        <x:v>53</x:v>
      </x:c>
      <x:c r="H19" s="4" t="s">
        <x:v>54</x:v>
      </x:c>
      <x:c r="I19" s="9" t="s">
        <x:v>55</x:v>
      </x:c>
      <x:c r="J19" s="9" t="s">
        <x:v>37</x:v>
      </x:c>
      <x:c r="K19" s="4" t="s">
        <x:v>56</x:v>
      </x:c>
      <x:c r="L19" s="9" t="s">
        <x:v>57</x:v>
      </x:c>
      <x:c r="M19" s="4"/>
    </x:row>
    <x:row r="20" ht="26.399999618530273" customHeight="1">
      <x:c r="A20" s="4" t="s">
        <x:v>75</x:v>
      </x:c>
      <x:c r="B20" s="4" t="s">
        <x:v>7</x:v>
      </x:c>
      <x:c r="C20" s="5">
        <x:v>298.14999999999998</x:v>
      </x:c>
      <x:c r="D20" s="6">
        <x:v>3.8936999999999999</x:v>
      </x:c>
      <x:c r="E20" s="7">
        <x:v>1.5853999999999999</x:v>
      </x:c>
      <x:c r="F20" s="4" t="s">
        <x:v>36</x:v>
      </x:c>
      <x:c r="G20" s="4" t="s">
        <x:v>53</x:v>
      </x:c>
      <x:c r="H20" s="4" t="s">
        <x:v>54</x:v>
      </x:c>
      <x:c r="I20" s="9" t="s">
        <x:v>55</x:v>
      </x:c>
      <x:c r="J20" s="9" t="s">
        <x:v>37</x:v>
      </x:c>
      <x:c r="K20" s="4" t="s">
        <x:v>56</x:v>
      </x:c>
      <x:c r="L20" s="9" t="s">
        <x:v>57</x:v>
      </x:c>
      <x:c r="M20" s="4"/>
    </x:row>
    <x:row r="21" ht="26.399999618530273" customHeight="1">
      <x:c r="A21" s="4" t="s">
        <x:v>76</x:v>
      </x:c>
      <x:c r="B21" s="4" t="s">
        <x:v>7</x:v>
      </x:c>
      <x:c r="C21" s="5">
        <x:v>298.14999999999998</x:v>
      </x:c>
      <x:c r="D21" s="6">
        <x:v>4.1036000000000001</x:v>
      </x:c>
      <x:c r="E21" s="7">
        <x:v>1.5889</x:v>
      </x:c>
      <x:c r="F21" s="4" t="s">
        <x:v>36</x:v>
      </x:c>
      <x:c r="G21" s="4" t="s">
        <x:v>53</x:v>
      </x:c>
      <x:c r="H21" s="4" t="s">
        <x:v>54</x:v>
      </x:c>
      <x:c r="I21" s="9" t="s">
        <x:v>55</x:v>
      </x:c>
      <x:c r="J21" s="9" t="s">
        <x:v>37</x:v>
      </x:c>
      <x:c r="K21" s="4" t="s">
        <x:v>56</x:v>
      </x:c>
      <x:c r="L21" s="9" t="s">
        <x:v>57</x:v>
      </x:c>
      <x:c r="M21" s="4"/>
    </x:row>
    <x:row r="22" ht="26.399999618530273" customHeight="1">
      <x:c r="A22" s="4" t="s">
        <x:v>77</x:v>
      </x:c>
      <x:c r="B22" s="4" t="s">
        <x:v>7</x:v>
      </x:c>
      <x:c r="C22" s="5">
        <x:v>298.14999999999998</x:v>
      </x:c>
      <x:c r="D22" s="6">
        <x:v>4.3064</x:v>
      </x:c>
      <x:c r="E22" s="7">
        <x:v>1.5898000000000001</x:v>
      </x:c>
      <x:c r="F22" s="4" t="s">
        <x:v>36</x:v>
      </x:c>
      <x:c r="G22" s="4" t="s">
        <x:v>53</x:v>
      </x:c>
      <x:c r="H22" s="4" t="s">
        <x:v>54</x:v>
      </x:c>
      <x:c r="I22" s="9" t="s">
        <x:v>55</x:v>
      </x:c>
      <x:c r="J22" s="9" t="s">
        <x:v>37</x:v>
      </x:c>
      <x:c r="K22" s="4" t="s">
        <x:v>56</x:v>
      </x:c>
      <x:c r="L22" s="9" t="s">
        <x:v>57</x:v>
      </x:c>
      <x:c r="M22" s="4"/>
    </x:row>
    <x:row r="23" ht="26.399999618530273" customHeight="1">
      <x:c r="A23" s="4" t="s">
        <x:v>78</x:v>
      </x:c>
      <x:c r="B23" s="4" t="s">
        <x:v>7</x:v>
      </x:c>
      <x:c r="C23" s="5">
        <x:v>298.14999999999998</x:v>
      </x:c>
      <x:c r="D23" s="6">
        <x:v>4.5118999999999998</x:v>
      </x:c>
      <x:c r="E23" s="7">
        <x:v>1.5933999999999999</x:v>
      </x:c>
      <x:c r="F23" s="4" t="s">
        <x:v>36</x:v>
      </x:c>
      <x:c r="G23" s="4" t="s">
        <x:v>53</x:v>
      </x:c>
      <x:c r="H23" s="4" t="s">
        <x:v>54</x:v>
      </x:c>
      <x:c r="I23" s="9" t="s">
        <x:v>55</x:v>
      </x:c>
      <x:c r="J23" s="9" t="s">
        <x:v>37</x:v>
      </x:c>
      <x:c r="K23" s="4" t="s">
        <x:v>56</x:v>
      </x:c>
      <x:c r="L23" s="9" t="s">
        <x:v>57</x:v>
      </x:c>
      <x:c r="M23" s="4"/>
    </x:row>
    <x:row r="24" ht="26.399999618530273" customHeight="1">
      <x:c r="A24" s="4" t="s">
        <x:v>79</x:v>
      </x:c>
      <x:c r="B24" s="4" t="s">
        <x:v>7</x:v>
      </x:c>
      <x:c r="C24" s="5">
        <x:v>298.14999999999998</x:v>
      </x:c>
      <x:c r="D24" s="6">
        <x:v>4.7144000000000004</x:v>
      </x:c>
      <x:c r="E24" s="7">
        <x:v>1.5911999999999999</x:v>
      </x:c>
      <x:c r="F24" s="4" t="s">
        <x:v>36</x:v>
      </x:c>
      <x:c r="G24" s="4" t="s">
        <x:v>53</x:v>
      </x:c>
      <x:c r="H24" s="4" t="s">
        <x:v>54</x:v>
      </x:c>
      <x:c r="I24" s="9" t="s">
        <x:v>55</x:v>
      </x:c>
      <x:c r="J24" s="9" t="s">
        <x:v>37</x:v>
      </x:c>
      <x:c r="K24" s="4" t="s">
        <x:v>56</x:v>
      </x:c>
      <x:c r="L24" s="9" t="s">
        <x:v>57</x:v>
      </x:c>
      <x:c r="M24" s="4"/>
    </x:row>
    <x:row r="25" ht="26.399999618530273" customHeight="1">
      <x:c r="A25" s="4" t="s">
        <x:v>80</x:v>
      </x:c>
      <x:c r="B25" s="4" t="s">
        <x:v>7</x:v>
      </x:c>
      <x:c r="C25" s="5">
        <x:v>298.14999999999998</x:v>
      </x:c>
      <x:c r="D25" s="6">
        <x:v>4.9131</x:v>
      </x:c>
      <x:c r="E25" s="7">
        <x:v>1.5843</x:v>
      </x:c>
      <x:c r="F25" s="4" t="s">
        <x:v>36</x:v>
      </x:c>
      <x:c r="G25" s="4" t="s">
        <x:v>53</x:v>
      </x:c>
      <x:c r="H25" s="4" t="s">
        <x:v>54</x:v>
      </x:c>
      <x:c r="I25" s="9" t="s">
        <x:v>55</x:v>
      </x:c>
      <x:c r="J25" s="9" t="s">
        <x:v>37</x:v>
      </x:c>
      <x:c r="K25" s="4" t="s">
        <x:v>56</x:v>
      </x:c>
      <x:c r="L25" s="9" t="s">
        <x:v>57</x:v>
      </x:c>
      <x:c r="M25" s="4"/>
    </x:row>
    <x:row r="26" ht="26.399999618530273" customHeight="1">
      <x:c r="A26" s="4" t="s">
        <x:v>81</x:v>
      </x:c>
      <x:c r="B26" s="4" t="s">
        <x:v>7</x:v>
      </x:c>
      <x:c r="C26" s="5">
        <x:v>298.14999999999998</x:v>
      </x:c>
      <x:c r="D26" s="6">
        <x:v>5.0678000000000001</x:v>
      </x:c>
      <x:c r="E26" s="7">
        <x:v>1.5845</x:v>
      </x:c>
      <x:c r="F26" s="4" t="s">
        <x:v>36</x:v>
      </x:c>
      <x:c r="G26" s="4" t="s">
        <x:v>53</x:v>
      </x:c>
      <x:c r="H26" s="4" t="s">
        <x:v>54</x:v>
      </x:c>
      <x:c r="I26" s="9" t="s">
        <x:v>55</x:v>
      </x:c>
      <x:c r="J26" s="9" t="s">
        <x:v>37</x:v>
      </x:c>
      <x:c r="K26" s="4" t="s">
        <x:v>56</x:v>
      </x:c>
      <x:c r="L26" s="9" t="s">
        <x:v>57</x:v>
      </x:c>
      <x:c r="M26" s="4"/>
    </x:row>
    <x:row r="27" ht="26.399999618530273" customHeight="1">
      <x:c r="A27" s="4" t="s">
        <x:v>82</x:v>
      </x:c>
      <x:c r="B27" s="4" t="s">
        <x:v>7</x:v>
      </x:c>
      <x:c r="C27" s="5">
        <x:v>298.14999999999998</x:v>
      </x:c>
      <x:c r="D27" s="6">
        <x:v>5.3194999999999997</x:v>
      </x:c>
      <x:c r="E27" s="7">
        <x:v>1.577</x:v>
      </x:c>
      <x:c r="F27" s="4" t="s">
        <x:v>36</x:v>
      </x:c>
      <x:c r="G27" s="4" t="s">
        <x:v>53</x:v>
      </x:c>
      <x:c r="H27" s="4" t="s">
        <x:v>54</x:v>
      </x:c>
      <x:c r="I27" s="9" t="s">
        <x:v>55</x:v>
      </x:c>
      <x:c r="J27" s="9" t="s">
        <x:v>37</x:v>
      </x:c>
      <x:c r="K27" s="4" t="s">
        <x:v>56</x:v>
      </x:c>
      <x:c r="L27" s="9" t="s">
        <x:v>57</x:v>
      </x:c>
      <x:c r="M27" s="4"/>
    </x:row>
    <x:row r="28" ht="26.399999618530273" customHeight="1">
      <x:c r="A28" s="4" t="s">
        <x:v>83</x:v>
      </x:c>
      <x:c r="B28" s="4" t="s">
        <x:v>7</x:v>
      </x:c>
      <x:c r="C28" s="5">
        <x:v>298.14999999999998</x:v>
      </x:c>
      <x:c r="D28" s="6">
        <x:v>0</x:v>
      </x:c>
      <x:c r="E28" s="7">
        <x:v>1.6104000000000001</x:v>
      </x:c>
      <x:c r="F28" s="4" t="s">
        <x:v>32</x:v>
      </x:c>
      <x:c r="G28" s="4" t="s">
        <x:v>84</x:v>
      </x:c>
      <x:c r="H28" s="4" t="s">
        <x:v>85</x:v>
      </x:c>
      <x:c r="I28" s="9" t="s">
        <x:v>86</x:v>
      </x:c>
      <x:c r="J28" s="9" t="s">
        <x:v>33</x:v>
      </x:c>
      <x:c r="K28" s="4" t="s">
        <x:v>87</x:v>
      </x:c>
      <x:c r="L28" s="9" t="s">
        <x:v>88</x:v>
      </x:c>
      <x:c r="M28" s="4"/>
    </x:row>
    <x:row r="29" ht="52.75" customHeight="1">
      <x:c r="A29" s="4" t="s">
        <x:v>89</x:v>
      </x:c>
      <x:c r="B29" s="4" t="s">
        <x:v>7</x:v>
      </x:c>
      <x:c r="C29" s="5">
        <x:v>298.14999999999998</x:v>
      </x:c>
      <x:c r="D29" s="6">
        <x:v>1.377E-3</x:v>
      </x:c>
      <x:c r="E29" s="7">
        <x:v>1.6279999999999999</x:v>
      </x:c>
      <x:c r="F29" s="4" t="s">
        <x:v>34</x:v>
      </x:c>
      <x:c r="G29" s="4" t="s">
        <x:v>53</x:v>
      </x:c>
      <x:c r="H29" s="4" t="s">
        <x:v>90</x:v>
      </x:c>
      <x:c r="I29" s="9" t="s">
        <x:v>91</x:v>
      </x:c>
      <x:c r="J29" s="9" t="s">
        <x:v>35</x:v>
      </x:c>
      <x:c r="K29" s="4" t="s">
        <x:v>56</x:v>
      </x:c>
      <x:c r="L29" s="9" t="s">
        <x:v>57</x:v>
      </x:c>
      <x:c r="M29" s="4"/>
    </x:row>
    <x:row r="30" ht="52.75" customHeight="1">
      <x:c r="A30" s="4" t="s">
        <x:v>92</x:v>
      </x:c>
      <x:c r="B30" s="4" t="s">
        <x:v>7</x:v>
      </x:c>
      <x:c r="C30" s="5">
        <x:v>298.14999999999998</x:v>
      </x:c>
      <x:c r="D30" s="6">
        <x:v>1.9620000000000002E-3</x:v>
      </x:c>
      <x:c r="E30" s="7">
        <x:v>1.6339999999999999</x:v>
      </x:c>
      <x:c r="F30" s="4" t="s">
        <x:v>34</x:v>
      </x:c>
      <x:c r="G30" s="4" t="s">
        <x:v>53</x:v>
      </x:c>
      <x:c r="H30" s="4" t="s">
        <x:v>90</x:v>
      </x:c>
      <x:c r="I30" s="9" t="s">
        <x:v>91</x:v>
      </x:c>
      <x:c r="J30" s="9" t="s">
        <x:v>35</x:v>
      </x:c>
      <x:c r="K30" s="4" t="s">
        <x:v>56</x:v>
      </x:c>
      <x:c r="L30" s="9" t="s">
        <x:v>57</x:v>
      </x:c>
      <x:c r="M30" s="4"/>
    </x:row>
    <x:row r="31" ht="52.75" customHeight="1">
      <x:c r="A31" s="4" t="s">
        <x:v>93</x:v>
      </x:c>
      <x:c r="B31" s="4" t="s">
        <x:v>7</x:v>
      </x:c>
      <x:c r="C31" s="5">
        <x:v>298.14999999999998</x:v>
      </x:c>
      <x:c r="D31" s="6">
        <x:v>2.5500000000000002E-3</x:v>
      </x:c>
      <x:c r="E31" s="7">
        <x:v>1.633</x:v>
      </x:c>
      <x:c r="F31" s="4" t="s">
        <x:v>34</x:v>
      </x:c>
      <x:c r="G31" s="4" t="s">
        <x:v>53</x:v>
      </x:c>
      <x:c r="H31" s="4" t="s">
        <x:v>90</x:v>
      </x:c>
      <x:c r="I31" s="9" t="s">
        <x:v>91</x:v>
      </x:c>
      <x:c r="J31" s="9" t="s">
        <x:v>35</x:v>
      </x:c>
      <x:c r="K31" s="4" t="s">
        <x:v>56</x:v>
      </x:c>
      <x:c r="L31" s="9" t="s">
        <x:v>57</x:v>
      </x:c>
      <x:c r="M31" s="4"/>
    </x:row>
    <x:row r="32" ht="52.75" customHeight="1">
      <x:c r="A32" s="4" t="s">
        <x:v>94</x:v>
      </x:c>
      <x:c r="B32" s="4" t="s">
        <x:v>7</x:v>
      </x:c>
      <x:c r="C32" s="5">
        <x:v>298.14999999999998</x:v>
      </x:c>
      <x:c r="D32" s="6">
        <x:v>3.14E-3</x:v>
      </x:c>
      <x:c r="E32" s="7">
        <x:v>1.631</x:v>
      </x:c>
      <x:c r="F32" s="4" t="s">
        <x:v>34</x:v>
      </x:c>
      <x:c r="G32" s="4" t="s">
        <x:v>53</x:v>
      </x:c>
      <x:c r="H32" s="4" t="s">
        <x:v>90</x:v>
      </x:c>
      <x:c r="I32" s="9" t="s">
        <x:v>91</x:v>
      </x:c>
      <x:c r="J32" s="9" t="s">
        <x:v>35</x:v>
      </x:c>
      <x:c r="K32" s="4" t="s">
        <x:v>56</x:v>
      </x:c>
      <x:c r="L32" s="9" t="s">
        <x:v>57</x:v>
      </x:c>
      <x:c r="M32" s="4"/>
    </x:row>
    <x:row r="33" ht="52.75" customHeight="1">
      <x:c r="A33" s="4" t="s">
        <x:v>95</x:v>
      </x:c>
      <x:c r="B33" s="4" t="s">
        <x:v>7</x:v>
      </x:c>
      <x:c r="C33" s="5">
        <x:v>298.14999999999998</x:v>
      </x:c>
      <x:c r="D33" s="6">
        <x:v>3.7030000000000001E-3</x:v>
      </x:c>
      <x:c r="E33" s="7">
        <x:v>1.62</x:v>
      </x:c>
      <x:c r="F33" s="4" t="s">
        <x:v>34</x:v>
      </x:c>
      <x:c r="G33" s="4" t="s">
        <x:v>53</x:v>
      </x:c>
      <x:c r="H33" s="4" t="s">
        <x:v>90</x:v>
      </x:c>
      <x:c r="I33" s="9" t="s">
        <x:v>91</x:v>
      </x:c>
      <x:c r="J33" s="9" t="s">
        <x:v>35</x:v>
      </x:c>
      <x:c r="K33" s="4" t="s">
        <x:v>56</x:v>
      </x:c>
      <x:c r="L33" s="9" t="s">
        <x:v>57</x:v>
      </x:c>
      <x:c r="M33" s="4"/>
    </x:row>
    <x:row r="34" ht="52.75" customHeight="1">
      <x:c r="A34" s="4" t="s">
        <x:v>96</x:v>
      </x:c>
      <x:c r="B34" s="4" t="s">
        <x:v>7</x:v>
      </x:c>
      <x:c r="C34" s="5">
        <x:v>298.14999999999998</x:v>
      </x:c>
      <x:c r="D34" s="6">
        <x:v>4.267E-3</x:v>
      </x:c>
      <x:c r="E34" s="7">
        <x:v>1.6220000000000001</x:v>
      </x:c>
      <x:c r="F34" s="4" t="s">
        <x:v>34</x:v>
      </x:c>
      <x:c r="G34" s="4" t="s">
        <x:v>53</x:v>
      </x:c>
      <x:c r="H34" s="4" t="s">
        <x:v>90</x:v>
      </x:c>
      <x:c r="I34" s="9" t="s">
        <x:v>91</x:v>
      </x:c>
      <x:c r="J34" s="9" t="s">
        <x:v>35</x:v>
      </x:c>
      <x:c r="K34" s="4" t="s">
        <x:v>56</x:v>
      </x:c>
      <x:c r="L34" s="9" t="s">
        <x:v>57</x:v>
      </x:c>
      <x:c r="M34" s="4"/>
    </x:row>
    <x:row r="35" ht="52.75" customHeight="1">
      <x:c r="A35" s="4" t="s">
        <x:v>97</x:v>
      </x:c>
      <x:c r="B35" s="4" t="s">
        <x:v>7</x:v>
      </x:c>
      <x:c r="C35" s="5">
        <x:v>298.14999999999998</x:v>
      </x:c>
      <x:c r="D35" s="6">
        <x:v>4.6160000000000003E-3</x:v>
      </x:c>
      <x:c r="E35" s="7">
        <x:v>1.534</x:v>
      </x:c>
      <x:c r="F35" s="4" t="s">
        <x:v>34</x:v>
      </x:c>
      <x:c r="G35" s="4" t="s">
        <x:v>53</x:v>
      </x:c>
      <x:c r="H35" s="4" t="s">
        <x:v>90</x:v>
      </x:c>
      <x:c r="I35" s="9" t="s">
        <x:v>91</x:v>
      </x:c>
      <x:c r="J35" s="9" t="s">
        <x:v>35</x:v>
      </x:c>
      <x:c r="K35" s="4" t="s">
        <x:v>56</x:v>
      </x:c>
      <x:c r="L35" s="9" t="s">
        <x:v>57</x:v>
      </x:c>
      <x:c r="M35" s="4"/>
    </x:row>
    <x:row r="36" ht="52.75" customHeight="1">
      <x:c r="A36" s="4" t="s">
        <x:v>98</x:v>
      </x:c>
      <x:c r="B36" s="4" t="s">
        <x:v>7</x:v>
      </x:c>
      <x:c r="C36" s="5">
        <x:v>298.14999999999998</x:v>
      </x:c>
      <x:c r="D36" s="6">
        <x:v>4.8240000000000002E-3</x:v>
      </x:c>
      <x:c r="E36" s="7">
        <x:v>1.62</x:v>
      </x:c>
      <x:c r="F36" s="4" t="s">
        <x:v>34</x:v>
      </x:c>
      <x:c r="G36" s="4" t="s">
        <x:v>53</x:v>
      </x:c>
      <x:c r="H36" s="4" t="s">
        <x:v>90</x:v>
      </x:c>
      <x:c r="I36" s="9" t="s">
        <x:v>91</x:v>
      </x:c>
      <x:c r="J36" s="9" t="s">
        <x:v>35</x:v>
      </x:c>
      <x:c r="K36" s="4" t="s">
        <x:v>56</x:v>
      </x:c>
      <x:c r="L36" s="9" t="s">
        <x:v>57</x:v>
      </x:c>
      <x:c r="M36" s="4"/>
    </x:row>
    <x:row r="37" ht="52.75" customHeight="1">
      <x:c r="A37" s="4" t="s">
        <x:v>99</x:v>
      </x:c>
      <x:c r="B37" s="4" t="s">
        <x:v>7</x:v>
      </x:c>
      <x:c r="C37" s="5">
        <x:v>298.14999999999998</x:v>
      </x:c>
      <x:c r="D37" s="6">
        <x:v>5.104E-3</x:v>
      </x:c>
      <x:c r="E37" s="7">
        <x:v>1.538</x:v>
      </x:c>
      <x:c r="F37" s="4" t="s">
        <x:v>34</x:v>
      </x:c>
      <x:c r="G37" s="4" t="s">
        <x:v>53</x:v>
      </x:c>
      <x:c r="H37" s="4" t="s">
        <x:v>90</x:v>
      </x:c>
      <x:c r="I37" s="9" t="s">
        <x:v>91</x:v>
      </x:c>
      <x:c r="J37" s="9" t="s">
        <x:v>35</x:v>
      </x:c>
      <x:c r="K37" s="4" t="s">
        <x:v>56</x:v>
      </x:c>
      <x:c r="L37" s="9" t="s">
        <x:v>57</x:v>
      </x:c>
      <x:c r="M37" s="4"/>
    </x:row>
    <x:row r="38" ht="52.75" customHeight="1">
      <x:c r="A38" s="4" t="s">
        <x:v>100</x:v>
      </x:c>
      <x:c r="B38" s="4" t="s">
        <x:v>7</x:v>
      </x:c>
      <x:c r="C38" s="5">
        <x:v>298.14999999999998</x:v>
      </x:c>
      <x:c r="D38" s="6">
        <x:v>5.3740000000000003E-3</x:v>
      </x:c>
      <x:c r="E38" s="7">
        <x:v>1.6140000000000001</x:v>
      </x:c>
      <x:c r="F38" s="4" t="s">
        <x:v>34</x:v>
      </x:c>
      <x:c r="G38" s="4" t="s">
        <x:v>53</x:v>
      </x:c>
      <x:c r="H38" s="4" t="s">
        <x:v>90</x:v>
      </x:c>
      <x:c r="I38" s="9" t="s">
        <x:v>91</x:v>
      </x:c>
      <x:c r="J38" s="9" t="s">
        <x:v>35</x:v>
      </x:c>
      <x:c r="K38" s="4" t="s">
        <x:v>56</x:v>
      </x:c>
      <x:c r="L38" s="9" t="s">
        <x:v>57</x:v>
      </x:c>
      <x:c r="M38" s="4"/>
    </x:row>
    <x:row r="39" ht="52.75" customHeight="1">
      <x:c r="A39" s="4" t="s">
        <x:v>101</x:v>
      </x:c>
      <x:c r="B39" s="4" t="s">
        <x:v>7</x:v>
      </x:c>
      <x:c r="C39" s="5">
        <x:v>298.14999999999998</x:v>
      </x:c>
      <x:c r="D39" s="6">
        <x:v>5.6559999999999996E-3</x:v>
      </x:c>
      <x:c r="E39" s="7">
        <x:v>1.5369999999999999</x:v>
      </x:c>
      <x:c r="F39" s="4" t="s">
        <x:v>34</x:v>
      </x:c>
      <x:c r="G39" s="4" t="s">
        <x:v>53</x:v>
      </x:c>
      <x:c r="H39" s="4" t="s">
        <x:v>90</x:v>
      </x:c>
      <x:c r="I39" s="9" t="s">
        <x:v>91</x:v>
      </x:c>
      <x:c r="J39" s="9" t="s">
        <x:v>35</x:v>
      </x:c>
      <x:c r="K39" s="4" t="s">
        <x:v>56</x:v>
      </x:c>
      <x:c r="L39" s="9" t="s">
        <x:v>57</x:v>
      </x:c>
      <x:c r="M39" s="4"/>
    </x:row>
    <x:row r="40" ht="52.75" customHeight="1">
      <x:c r="A40" s="4" t="s">
        <x:v>102</x:v>
      </x:c>
      <x:c r="B40" s="4" t="s">
        <x:v>7</x:v>
      </x:c>
      <x:c r="C40" s="5">
        <x:v>298.14999999999998</x:v>
      </x:c>
      <x:c r="D40" s="6">
        <x:v>5.9329999999999999E-3</x:v>
      </x:c>
      <x:c r="E40" s="7">
        <x:v>1.6060000000000001</x:v>
      </x:c>
      <x:c r="F40" s="4" t="s">
        <x:v>34</x:v>
      </x:c>
      <x:c r="G40" s="4" t="s">
        <x:v>53</x:v>
      </x:c>
      <x:c r="H40" s="4" t="s">
        <x:v>90</x:v>
      </x:c>
      <x:c r="I40" s="9" t="s">
        <x:v>91</x:v>
      </x:c>
      <x:c r="J40" s="9" t="s">
        <x:v>35</x:v>
      </x:c>
      <x:c r="K40" s="4" t="s">
        <x:v>56</x:v>
      </x:c>
      <x:c r="L40" s="9" t="s">
        <x:v>57</x:v>
      </x:c>
      <x:c r="M40" s="4"/>
    </x:row>
    <x:row r="41" ht="52.75" customHeight="1">
      <x:c r="A41" s="4" t="s">
        <x:v>103</x:v>
      </x:c>
      <x:c r="B41" s="4" t="s">
        <x:v>7</x:v>
      </x:c>
      <x:c r="C41" s="5">
        <x:v>298.14999999999998</x:v>
      </x:c>
      <x:c r="D41" s="6">
        <x:v>6.4479999999999997E-3</x:v>
      </x:c>
      <x:c r="E41" s="7">
        <x:v>1.6</x:v>
      </x:c>
      <x:c r="F41" s="4" t="s">
        <x:v>34</x:v>
      </x:c>
      <x:c r="G41" s="4" t="s">
        <x:v>53</x:v>
      </x:c>
      <x:c r="H41" s="4" t="s">
        <x:v>90</x:v>
      </x:c>
      <x:c r="I41" s="9" t="s">
        <x:v>91</x:v>
      </x:c>
      <x:c r="J41" s="9" t="s">
        <x:v>35</x:v>
      </x:c>
      <x:c r="K41" s="4" t="s">
        <x:v>56</x:v>
      </x:c>
      <x:c r="L41" s="9" t="s">
        <x:v>57</x:v>
      </x:c>
      <x:c r="M41" s="4"/>
    </x:row>
    <x:row r="42" ht="52.75" customHeight="1">
      <x:c r="A42" s="4" t="s">
        <x:v>104</x:v>
      </x:c>
      <x:c r="B42" s="4" t="s">
        <x:v>7</x:v>
      </x:c>
      <x:c r="C42" s="5">
        <x:v>298.14999999999998</x:v>
      </x:c>
      <x:c r="D42" s="6">
        <x:v>6.522E-3</x:v>
      </x:c>
      <x:c r="E42" s="7">
        <x:v>1.5229999999999999</x:v>
      </x:c>
      <x:c r="F42" s="4" t="s">
        <x:v>34</x:v>
      </x:c>
      <x:c r="G42" s="4" t="s">
        <x:v>53</x:v>
      </x:c>
      <x:c r="H42" s="4" t="s">
        <x:v>90</x:v>
      </x:c>
      <x:c r="I42" s="9" t="s">
        <x:v>91</x:v>
      </x:c>
      <x:c r="J42" s="9" t="s">
        <x:v>35</x:v>
      </x:c>
      <x:c r="K42" s="4" t="s">
        <x:v>56</x:v>
      </x:c>
      <x:c r="L42" s="9" t="s">
        <x:v>57</x:v>
      </x:c>
      <x:c r="M42" s="4"/>
    </x:row>
    <x:row r="43" ht="52.75" customHeight="1">
      <x:c r="A43" s="4" t="s">
        <x:v>105</x:v>
      </x:c>
      <x:c r="B43" s="4" t="s">
        <x:v>7</x:v>
      </x:c>
      <x:c r="C43" s="5">
        <x:v>298.14999999999998</x:v>
      </x:c>
      <x:c r="D43" s="6">
        <x:v>6.9709999999999998E-3</x:v>
      </x:c>
      <x:c r="E43" s="7">
        <x:v>1.587</x:v>
      </x:c>
      <x:c r="F43" s="4" t="s">
        <x:v>34</x:v>
      </x:c>
      <x:c r="G43" s="4" t="s">
        <x:v>53</x:v>
      </x:c>
      <x:c r="H43" s="4" t="s">
        <x:v>90</x:v>
      </x:c>
      <x:c r="I43" s="9" t="s">
        <x:v>91</x:v>
      </x:c>
      <x:c r="J43" s="9" t="s">
        <x:v>35</x:v>
      </x:c>
      <x:c r="K43" s="4" t="s">
        <x:v>56</x:v>
      </x:c>
      <x:c r="L43" s="9" t="s">
        <x:v>57</x:v>
      </x:c>
      <x:c r="M43" s="4"/>
    </x:row>
    <x:row r="44" ht="52.75" customHeight="1">
      <x:c r="A44" s="4" t="s">
        <x:v>106</x:v>
      </x:c>
      <x:c r="B44" s="4" t="s">
        <x:v>7</x:v>
      </x:c>
      <x:c r="C44" s="5">
        <x:v>298.14999999999998</x:v>
      </x:c>
      <x:c r="D44" s="6">
        <x:v>7.0130000000000001E-3</x:v>
      </x:c>
      <x:c r="E44" s="7">
        <x:v>1.518</x:v>
      </x:c>
      <x:c r="F44" s="4" t="s">
        <x:v>34</x:v>
      </x:c>
      <x:c r="G44" s="4" t="s">
        <x:v>53</x:v>
      </x:c>
      <x:c r="H44" s="4" t="s">
        <x:v>90</x:v>
      </x:c>
      <x:c r="I44" s="9" t="s">
        <x:v>91</x:v>
      </x:c>
      <x:c r="J44" s="9" t="s">
        <x:v>35</x:v>
      </x:c>
      <x:c r="K44" s="4" t="s">
        <x:v>56</x:v>
      </x:c>
      <x:c r="L44" s="9" t="s">
        <x:v>57</x:v>
      </x:c>
      <x:c r="M44" s="4"/>
    </x:row>
    <x:row r="45" ht="52.75" customHeight="1">
      <x:c r="A45" s="4" t="s">
        <x:v>107</x:v>
      </x:c>
      <x:c r="B45" s="4" t="s">
        <x:v>7</x:v>
      </x:c>
      <x:c r="C45" s="5">
        <x:v>298.14999999999998</x:v>
      </x:c>
      <x:c r="D45" s="6">
        <x:v>7.5079999999999999E-3</x:v>
      </x:c>
      <x:c r="E45" s="7">
        <x:v>1.5940000000000001</x:v>
      </x:c>
      <x:c r="F45" s="4" t="s">
        <x:v>34</x:v>
      </x:c>
      <x:c r="G45" s="4" t="s">
        <x:v>53</x:v>
      </x:c>
      <x:c r="H45" s="4" t="s">
        <x:v>90</x:v>
      </x:c>
      <x:c r="I45" s="9" t="s">
        <x:v>91</x:v>
      </x:c>
      <x:c r="J45" s="9" t="s">
        <x:v>35</x:v>
      </x:c>
      <x:c r="K45" s="4" t="s">
        <x:v>56</x:v>
      </x:c>
      <x:c r="L45" s="9" t="s">
        <x:v>57</x:v>
      </x:c>
      <x:c r="M45" s="4"/>
    </x:row>
    <x:row r="46" ht="52.75" customHeight="1">
      <x:c r="A46" s="4" t="s">
        <x:v>108</x:v>
      </x:c>
      <x:c r="B46" s="4" t="s">
        <x:v>7</x:v>
      </x:c>
      <x:c r="C46" s="5">
        <x:v>298.14999999999998</x:v>
      </x:c>
      <x:c r="D46" s="6">
        <x:v>7.5209999999999999E-3</x:v>
      </x:c>
      <x:c r="E46" s="7">
        <x:v>1.516</x:v>
      </x:c>
      <x:c r="F46" s="4" t="s">
        <x:v>34</x:v>
      </x:c>
      <x:c r="G46" s="4" t="s">
        <x:v>53</x:v>
      </x:c>
      <x:c r="H46" s="4" t="s">
        <x:v>90</x:v>
      </x:c>
      <x:c r="I46" s="9" t="s">
        <x:v>91</x:v>
      </x:c>
      <x:c r="J46" s="9" t="s">
        <x:v>35</x:v>
      </x:c>
      <x:c r="K46" s="4" t="s">
        <x:v>56</x:v>
      </x:c>
      <x:c r="L46" s="9" t="s">
        <x:v>57</x:v>
      </x:c>
      <x:c r="M46" s="4"/>
    </x:row>
    <x:row r="47" ht="52.75" customHeight="1">
      <x:c r="A47" s="4" t="s">
        <x:v>109</x:v>
      </x:c>
      <x:c r="B47" s="4" t="s">
        <x:v>7</x:v>
      </x:c>
      <x:c r="C47" s="5">
        <x:v>298.14999999999998</x:v>
      </x:c>
      <x:c r="D47" s="6">
        <x:v>8.0040000000000007E-3</x:v>
      </x:c>
      <x:c r="E47" s="7">
        <x:v>1.605</x:v>
      </x:c>
      <x:c r="F47" s="4" t="s">
        <x:v>34</x:v>
      </x:c>
      <x:c r="G47" s="4" t="s">
        <x:v>53</x:v>
      </x:c>
      <x:c r="H47" s="4" t="s">
        <x:v>90</x:v>
      </x:c>
      <x:c r="I47" s="9" t="s">
        <x:v>91</x:v>
      </x:c>
      <x:c r="J47" s="9" t="s">
        <x:v>35</x:v>
      </x:c>
      <x:c r="K47" s="4" t="s">
        <x:v>56</x:v>
      </x:c>
      <x:c r="L47" s="9" t="s">
        <x:v>57</x:v>
      </x:c>
      <x:c r="M47" s="4"/>
    </x:row>
    <x:row r="48" ht="52.75" customHeight="1">
      <x:c r="A48" s="4" t="s">
        <x:v>110</x:v>
      </x:c>
      <x:c r="B48" s="4" t="s">
        <x:v>7</x:v>
      </x:c>
      <x:c r="C48" s="5">
        <x:v>298.14999999999998</x:v>
      </x:c>
      <x:c r="D48" s="6">
        <x:v>8.0909999999999992E-3</x:v>
      </x:c>
      <x:c r="E48" s="7">
        <x:v>1.522</x:v>
      </x:c>
      <x:c r="F48" s="4" t="s">
        <x:v>34</x:v>
      </x:c>
      <x:c r="G48" s="4" t="s">
        <x:v>53</x:v>
      </x:c>
      <x:c r="H48" s="4" t="s">
        <x:v>90</x:v>
      </x:c>
      <x:c r="I48" s="9" t="s">
        <x:v>91</x:v>
      </x:c>
      <x:c r="J48" s="9" t="s">
        <x:v>35</x:v>
      </x:c>
      <x:c r="K48" s="4" t="s">
        <x:v>56</x:v>
      </x:c>
      <x:c r="L48" s="9" t="s">
        <x:v>57</x:v>
      </x:c>
      <x:c r="M48" s="4"/>
    </x:row>
    <x:row r="49" ht="52.75" customHeight="1">
      <x:c r="A49" s="4" t="s">
        <x:v>111</x:v>
      </x:c>
      <x:c r="B49" s="4" t="s">
        <x:v>7</x:v>
      </x:c>
      <x:c r="C49" s="5">
        <x:v>298.14999999999998</x:v>
      </x:c>
      <x:c r="D49" s="6">
        <x:v>8.5640000000000004E-3</x:v>
      </x:c>
      <x:c r="E49" s="7">
        <x:v>1.522</x:v>
      </x:c>
      <x:c r="F49" s="4" t="s">
        <x:v>34</x:v>
      </x:c>
      <x:c r="G49" s="4" t="s">
        <x:v>53</x:v>
      </x:c>
      <x:c r="H49" s="4" t="s">
        <x:v>90</x:v>
      </x:c>
      <x:c r="I49" s="9" t="s">
        <x:v>91</x:v>
      </x:c>
      <x:c r="J49" s="9" t="s">
        <x:v>35</x:v>
      </x:c>
      <x:c r="K49" s="4" t="s">
        <x:v>56</x:v>
      </x:c>
      <x:c r="L49" s="9" t="s">
        <x:v>57</x:v>
      </x:c>
      <x:c r="M49" s="4"/>
    </x:row>
    <x:row r="50" ht="52.75" customHeight="1">
      <x:c r="A50" s="4" t="s">
        <x:v>112</x:v>
      </x:c>
      <x:c r="B50" s="4" t="s">
        <x:v>7</x:v>
      </x:c>
      <x:c r="C50" s="5">
        <x:v>298.14999999999998</x:v>
      </x:c>
      <x:c r="D50" s="6">
        <x:v>9.0580000000000001E-3</x:v>
      </x:c>
      <x:c r="E50" s="7">
        <x:v>1.524</x:v>
      </x:c>
      <x:c r="F50" s="4" t="s">
        <x:v>34</x:v>
      </x:c>
      <x:c r="G50" s="4" t="s">
        <x:v>53</x:v>
      </x:c>
      <x:c r="H50" s="4" t="s">
        <x:v>90</x:v>
      </x:c>
      <x:c r="I50" s="9" t="s">
        <x:v>91</x:v>
      </x:c>
      <x:c r="J50" s="9" t="s">
        <x:v>35</x:v>
      </x:c>
      <x:c r="K50" s="4" t="s">
        <x:v>56</x:v>
      </x:c>
      <x:c r="L50" s="9" t="s">
        <x:v>57</x:v>
      </x:c>
      <x:c r="M50" s="4"/>
    </x:row>
    <x:row r="51" ht="66" customHeight="1">
      <x:c r="A51" s="4" t="s">
        <x:v>113</x:v>
      </x:c>
      <x:c r="B51" s="4" t="s">
        <x:v>7</x:v>
      </x:c>
      <x:c r="C51" s="5">
        <x:v>298.14999999999998</x:v>
      </x:c>
      <x:c r="D51" s="6">
        <x:v>2.7150000000000001E-2</x:v>
      </x:c>
      <x:c r="E51" s="7">
        <x:v>1.526</x:v>
      </x:c>
      <x:c r="F51" s="4" t="s">
        <x:v>38</x:v>
      </x:c>
      <x:c r="G51" s="4" t="s">
        <x:v>53</x:v>
      </x:c>
      <x:c r="H51" s="4" t="s">
        <x:v>114</x:v>
      </x:c>
      <x:c r="I51" s="9" t="s">
        <x:v>115</x:v>
      </x:c>
      <x:c r="J51" s="9" t="s">
        <x:v>39</x:v>
      </x:c>
      <x:c r="K51" s="4" t="s">
        <x:v>56</x:v>
      </x:c>
      <x:c r="L51" s="9" t="s">
        <x:v>57</x:v>
      </x:c>
      <x:c r="M51" s="4"/>
    </x:row>
    <x:row r="52" ht="66" customHeight="1">
      <x:c r="A52" s="4" t="s">
        <x:v>116</x:v>
      </x:c>
      <x:c r="B52" s="4" t="s">
        <x:v>7</x:v>
      </x:c>
      <x:c r="C52" s="5">
        <x:v>298.14999999999998</x:v>
      </x:c>
      <x:c r="D52" s="6">
        <x:v>2.7570000000000001E-2</x:v>
      </x:c>
      <x:c r="E52" s="7">
        <x:v>1.512</x:v>
      </x:c>
      <x:c r="F52" s="4" t="s">
        <x:v>38</x:v>
      </x:c>
      <x:c r="G52" s="4" t="s">
        <x:v>53</x:v>
      </x:c>
      <x:c r="H52" s="4" t="s">
        <x:v>114</x:v>
      </x:c>
      <x:c r="I52" s="9" t="s">
        <x:v>115</x:v>
      </x:c>
      <x:c r="J52" s="9" t="s">
        <x:v>39</x:v>
      </x:c>
      <x:c r="K52" s="4" t="s">
        <x:v>56</x:v>
      </x:c>
      <x:c r="L52" s="9" t="s">
        <x:v>57</x:v>
      </x:c>
      <x:c r="M52" s="4"/>
    </x:row>
    <x:row r="53" ht="66" customHeight="1">
      <x:c r="A53" s="4" t="s">
        <x:v>117</x:v>
      </x:c>
      <x:c r="B53" s="4" t="s">
        <x:v>7</x:v>
      </x:c>
      <x:c r="C53" s="5">
        <x:v>298.14999999999998</x:v>
      </x:c>
      <x:c r="D53" s="6">
        <x:v>8.0589999999999995E-2</x:v>
      </x:c>
      <x:c r="E53" s="7">
        <x:v>1.49</x:v>
      </x:c>
      <x:c r="F53" s="4" t="s">
        <x:v>38</x:v>
      </x:c>
      <x:c r="G53" s="4" t="s">
        <x:v>53</x:v>
      </x:c>
      <x:c r="H53" s="4" t="s">
        <x:v>114</x:v>
      </x:c>
      <x:c r="I53" s="9" t="s">
        <x:v>115</x:v>
      </x:c>
      <x:c r="J53" s="9" t="s">
        <x:v>39</x:v>
      </x:c>
      <x:c r="K53" s="4" t="s">
        <x:v>56</x:v>
      </x:c>
      <x:c r="L53" s="9" t="s">
        <x:v>57</x:v>
      </x:c>
      <x:c r="M53" s="4"/>
    </x:row>
    <x:row r="54" ht="66" customHeight="1">
      <x:c r="A54" s="4" t="s">
        <x:v>118</x:v>
      </x:c>
      <x:c r="B54" s="4" t="s">
        <x:v>7</x:v>
      </x:c>
      <x:c r="C54" s="5">
        <x:v>298.14999999999998</x:v>
      </x:c>
      <x:c r="D54" s="6">
        <x:v>9.6439999999999998E-2</x:v>
      </x:c>
      <x:c r="E54" s="7">
        <x:v>1.4830000000000001</x:v>
      </x:c>
      <x:c r="F54" s="4" t="s">
        <x:v>38</x:v>
      </x:c>
      <x:c r="G54" s="4" t="s">
        <x:v>53</x:v>
      </x:c>
      <x:c r="H54" s="4" t="s">
        <x:v>114</x:v>
      </x:c>
      <x:c r="I54" s="9" t="s">
        <x:v>115</x:v>
      </x:c>
      <x:c r="J54" s="9" t="s">
        <x:v>39</x:v>
      </x:c>
      <x:c r="K54" s="4" t="s">
        <x:v>56</x:v>
      </x:c>
      <x:c r="L54" s="9" t="s">
        <x:v>57</x:v>
      </x:c>
      <x:c r="M54" s="4"/>
    </x:row>
    <x:row r="55" ht="66" customHeight="1">
      <x:c r="A55" s="4" t="s">
        <x:v>119</x:v>
      </x:c>
      <x:c r="B55" s="4" t="s">
        <x:v>7</x:v>
      </x:c>
      <x:c r="C55" s="5">
        <x:v>298.14999999999998</x:v>
      </x:c>
      <x:c r="D55" s="6">
        <x:v>0.12670000000000001</x:v>
      </x:c>
      <x:c r="E55" s="7">
        <x:v>1.4790000000000001</x:v>
      </x:c>
      <x:c r="F55" s="4" t="s">
        <x:v>38</x:v>
      </x:c>
      <x:c r="G55" s="4" t="s">
        <x:v>53</x:v>
      </x:c>
      <x:c r="H55" s="4" t="s">
        <x:v>114</x:v>
      </x:c>
      <x:c r="I55" s="9" t="s">
        <x:v>115</x:v>
      </x:c>
      <x:c r="J55" s="9" t="s">
        <x:v>39</x:v>
      </x:c>
      <x:c r="K55" s="4" t="s">
        <x:v>56</x:v>
      </x:c>
      <x:c r="L55" s="9" t="s">
        <x:v>57</x:v>
      </x:c>
      <x:c r="M55" s="4"/>
    </x:row>
    <x:row r="56" ht="66" customHeight="1">
      <x:c r="A56" s="4" t="s">
        <x:v>120</x:v>
      </x:c>
      <x:c r="B56" s="4" t="s">
        <x:v>7</x:v>
      </x:c>
      <x:c r="C56" s="5">
        <x:v>298.14999999999998</x:v>
      </x:c>
      <x:c r="D56" s="6">
        <x:v>0.1419</x:v>
      </x:c>
      <x:c r="E56" s="7">
        <x:v>1.4810000000000001</x:v>
      </x:c>
      <x:c r="F56" s="4" t="s">
        <x:v>38</x:v>
      </x:c>
      <x:c r="G56" s="4" t="s">
        <x:v>53</x:v>
      </x:c>
      <x:c r="H56" s="4" t="s">
        <x:v>114</x:v>
      </x:c>
      <x:c r="I56" s="9" t="s">
        <x:v>115</x:v>
      </x:c>
      <x:c r="J56" s="9" t="s">
        <x:v>39</x:v>
      </x:c>
      <x:c r="K56" s="4" t="s">
        <x:v>56</x:v>
      </x:c>
      <x:c r="L56" s="9" t="s">
        <x:v>57</x:v>
      </x:c>
      <x:c r="M56" s="4"/>
    </x:row>
    <x:row r="57" ht="66" customHeight="1">
      <x:c r="A57" s="4" t="s">
        <x:v>121</x:v>
      </x:c>
      <x:c r="B57" s="4" t="s">
        <x:v>7</x:v>
      </x:c>
      <x:c r="C57" s="5">
        <x:v>298.14999999999998</x:v>
      </x:c>
      <x:c r="D57" s="6">
        <x:v>0.2082</x:v>
      </x:c>
      <x:c r="E57" s="7">
        <x:v>1.472</x:v>
      </x:c>
      <x:c r="F57" s="4" t="s">
        <x:v>38</x:v>
      </x:c>
      <x:c r="G57" s="4" t="s">
        <x:v>53</x:v>
      </x:c>
      <x:c r="H57" s="4" t="s">
        <x:v>114</x:v>
      </x:c>
      <x:c r="I57" s="9" t="s">
        <x:v>115</x:v>
      </x:c>
      <x:c r="J57" s="9" t="s">
        <x:v>39</x:v>
      </x:c>
      <x:c r="K57" s="4" t="s">
        <x:v>56</x:v>
      </x:c>
      <x:c r="L57" s="9" t="s">
        <x:v>57</x:v>
      </x:c>
      <x:c r="M57" s="4"/>
    </x:row>
    <x:row r="58" ht="66" customHeight="1">
      <x:c r="A58" s="4" t="s">
        <x:v>122</x:v>
      </x:c>
      <x:c r="B58" s="4" t="s">
        <x:v>7</x:v>
      </x:c>
      <x:c r="C58" s="5">
        <x:v>298.14999999999998</x:v>
      </x:c>
      <x:c r="D58" s="6">
        <x:v>0.2082</x:v>
      </x:c>
      <x:c r="E58" s="7">
        <x:v>1.474</x:v>
      </x:c>
      <x:c r="F58" s="4" t="s">
        <x:v>38</x:v>
      </x:c>
      <x:c r="G58" s="4" t="s">
        <x:v>53</x:v>
      </x:c>
      <x:c r="H58" s="4" t="s">
        <x:v>114</x:v>
      </x:c>
      <x:c r="I58" s="9" t="s">
        <x:v>115</x:v>
      </x:c>
      <x:c r="J58" s="9" t="s">
        <x:v>39</x:v>
      </x:c>
      <x:c r="K58" s="4" t="s">
        <x:v>56</x:v>
      </x:c>
      <x:c r="L58" s="9" t="s">
        <x:v>57</x:v>
      </x:c>
      <x:c r="M58" s="4"/>
    </x:row>
    <x:row r="59" ht="66" customHeight="1">
      <x:c r="A59" s="4" t="s">
        <x:v>123</x:v>
      </x:c>
      <x:c r="B59" s="4" t="s">
        <x:v>7</x:v>
      </x:c>
      <x:c r="C59" s="5">
        <x:v>298.14999999999998</x:v>
      </x:c>
      <x:c r="D59" s="6">
        <x:v>0.21299999999999999</x:v>
      </x:c>
      <x:c r="E59" s="7">
        <x:v>1.4730000000000001</x:v>
      </x:c>
      <x:c r="F59" s="4" t="s">
        <x:v>38</x:v>
      </x:c>
      <x:c r="G59" s="4" t="s">
        <x:v>53</x:v>
      </x:c>
      <x:c r="H59" s="4" t="s">
        <x:v>114</x:v>
      </x:c>
      <x:c r="I59" s="9" t="s">
        <x:v>115</x:v>
      </x:c>
      <x:c r="J59" s="9" t="s">
        <x:v>39</x:v>
      </x:c>
      <x:c r="K59" s="4" t="s">
        <x:v>56</x:v>
      </x:c>
      <x:c r="L59" s="9" t="s">
        <x:v>57</x:v>
      </x:c>
      <x:c r="M59" s="4"/>
    </x:row>
    <x:row r="60" ht="66" customHeight="1">
      <x:c r="A60" s="4" t="s">
        <x:v>124</x:v>
      </x:c>
      <x:c r="B60" s="4" t="s">
        <x:v>7</x:v>
      </x:c>
      <x:c r="C60" s="5">
        <x:v>298.14999999999998</x:v>
      </x:c>
      <x:c r="D60" s="6">
        <x:v>0.3</x:v>
      </x:c>
      <x:c r="E60" s="7">
        <x:v>1.4730000000000001</x:v>
      </x:c>
      <x:c r="F60" s="4" t="s">
        <x:v>38</x:v>
      </x:c>
      <x:c r="G60" s="4" t="s">
        <x:v>53</x:v>
      </x:c>
      <x:c r="H60" s="4" t="s">
        <x:v>114</x:v>
      </x:c>
      <x:c r="I60" s="9" t="s">
        <x:v>115</x:v>
      </x:c>
      <x:c r="J60" s="9" t="s">
        <x:v>39</x:v>
      </x:c>
      <x:c r="K60" s="4" t="s">
        <x:v>56</x:v>
      </x:c>
      <x:c r="L60" s="9" t="s">
        <x:v>57</x:v>
      </x:c>
      <x:c r="M60" s="4"/>
    </x:row>
    <x:row r="61" ht="66" customHeight="1">
      <x:c r="A61" s="4" t="s">
        <x:v>125</x:v>
      </x:c>
      <x:c r="B61" s="4" t="s">
        <x:v>7</x:v>
      </x:c>
      <x:c r="C61" s="5">
        <x:v>298.14999999999998</x:v>
      </x:c>
      <x:c r="D61" s="6">
        <x:v>0.34160000000000001</x:v>
      </x:c>
      <x:c r="E61" s="7">
        <x:v>1.4770000000000001</x:v>
      </x:c>
      <x:c r="F61" s="4" t="s">
        <x:v>38</x:v>
      </x:c>
      <x:c r="G61" s="4" t="s">
        <x:v>53</x:v>
      </x:c>
      <x:c r="H61" s="4" t="s">
        <x:v>114</x:v>
      </x:c>
      <x:c r="I61" s="9" t="s">
        <x:v>115</x:v>
      </x:c>
      <x:c r="J61" s="9" t="s">
        <x:v>39</x:v>
      </x:c>
      <x:c r="K61" s="4" t="s">
        <x:v>56</x:v>
      </x:c>
      <x:c r="L61" s="9" t="s">
        <x:v>57</x:v>
      </x:c>
      <x:c r="M61" s="4"/>
    </x:row>
    <x:row r="62" ht="66" customHeight="1">
      <x:c r="A62" s="4" t="s">
        <x:v>126</x:v>
      </x:c>
      <x:c r="B62" s="4" t="s">
        <x:v>7</x:v>
      </x:c>
      <x:c r="C62" s="5">
        <x:v>298.14999999999998</x:v>
      </x:c>
      <x:c r="D62" s="6">
        <x:v>0.50039999999999996</x:v>
      </x:c>
      <x:c r="E62" s="7">
        <x:v>1.4730000000000001</x:v>
      </x:c>
      <x:c r="F62" s="4" t="s">
        <x:v>38</x:v>
      </x:c>
      <x:c r="G62" s="4" t="s">
        <x:v>53</x:v>
      </x:c>
      <x:c r="H62" s="4" t="s">
        <x:v>114</x:v>
      </x:c>
      <x:c r="I62" s="9" t="s">
        <x:v>115</x:v>
      </x:c>
      <x:c r="J62" s="9" t="s">
        <x:v>39</x:v>
      </x:c>
      <x:c r="K62" s="4" t="s">
        <x:v>56</x:v>
      </x:c>
      <x:c r="L62" s="9" t="s">
        <x:v>57</x:v>
      </x:c>
      <x:c r="M62" s="4"/>
    </x:row>
    <x:row r="63" ht="66" customHeight="1">
      <x:c r="A63" s="4" t="s">
        <x:v>127</x:v>
      </x:c>
      <x:c r="B63" s="4" t="s">
        <x:v>7</x:v>
      </x:c>
      <x:c r="C63" s="5">
        <x:v>298.14999999999998</x:v>
      </x:c>
      <x:c r="D63" s="6">
        <x:v>0.69869999999999999</x:v>
      </x:c>
      <x:c r="E63" s="7">
        <x:v>1.4770000000000001</x:v>
      </x:c>
      <x:c r="F63" s="4" t="s">
        <x:v>38</x:v>
      </x:c>
      <x:c r="G63" s="4" t="s">
        <x:v>53</x:v>
      </x:c>
      <x:c r="H63" s="4" t="s">
        <x:v>114</x:v>
      </x:c>
      <x:c r="I63" s="9" t="s">
        <x:v>115</x:v>
      </x:c>
      <x:c r="J63" s="9" t="s">
        <x:v>39</x:v>
      </x:c>
      <x:c r="K63" s="4" t="s">
        <x:v>56</x:v>
      </x:c>
      <x:c r="L63" s="9" t="s">
        <x:v>57</x:v>
      </x:c>
      <x:c r="M63" s="4"/>
    </x:row>
    <x:row r="64" ht="66" customHeight="1">
      <x:c r="A64" s="4" t="s">
        <x:v>128</x:v>
      </x:c>
      <x:c r="B64" s="4" t="s">
        <x:v>7</x:v>
      </x:c>
      <x:c r="C64" s="5">
        <x:v>298.14999999999998</x:v>
      </x:c>
      <x:c r="D64" s="6">
        <x:v>1</x:v>
      </x:c>
      <x:c r="E64" s="7">
        <x:v>1.4850000000000001</x:v>
      </x:c>
      <x:c r="F64" s="4" t="s">
        <x:v>38</x:v>
      </x:c>
      <x:c r="G64" s="4" t="s">
        <x:v>53</x:v>
      </x:c>
      <x:c r="H64" s="4" t="s">
        <x:v>114</x:v>
      </x:c>
      <x:c r="I64" s="9" t="s">
        <x:v>115</x:v>
      </x:c>
      <x:c r="J64" s="9" t="s">
        <x:v>39</x:v>
      </x:c>
      <x:c r="K64" s="4" t="s">
        <x:v>56</x:v>
      </x:c>
      <x:c r="L64" s="9" t="s">
        <x:v>57</x:v>
      </x:c>
      <x:c r="M64" s="4"/>
    </x:row>
    <x:row r="65" ht="66" customHeight="1">
      <x:c r="A65" s="4" t="s">
        <x:v>129</x:v>
      </x:c>
      <x:c r="B65" s="4" t="s">
        <x:v>7</x:v>
      </x:c>
      <x:c r="C65" s="5">
        <x:v>298.14999999999998</x:v>
      </x:c>
      <x:c r="D65" s="6">
        <x:v>2.0028000000000001</x:v>
      </x:c>
      <x:c r="E65" s="7">
        <x:v>1.5189999999999999</x:v>
      </x:c>
      <x:c r="F65" s="4" t="s">
        <x:v>38</x:v>
      </x:c>
      <x:c r="G65" s="4" t="s">
        <x:v>53</x:v>
      </x:c>
      <x:c r="H65" s="4" t="s">
        <x:v>114</x:v>
      </x:c>
      <x:c r="I65" s="9" t="s">
        <x:v>115</x:v>
      </x:c>
      <x:c r="J65" s="9" t="s">
        <x:v>39</x:v>
      </x:c>
      <x:c r="K65" s="4" t="s">
        <x:v>56</x:v>
      </x:c>
      <x:c r="L65" s="9" t="s">
        <x:v>57</x:v>
      </x:c>
      <x:c r="M65" s="4"/>
    </x:row>
    <x:row r="66" ht="66" customHeight="1">
      <x:c r="A66" s="4" t="s">
        <x:v>130</x:v>
      </x:c>
      <x:c r="B66" s="4" t="s">
        <x:v>7</x:v>
      </x:c>
      <x:c r="C66" s="5">
        <x:v>298.14999999999998</x:v>
      </x:c>
      <x:c r="D66" s="6">
        <x:v>2.0305</x:v>
      </x:c>
      <x:c r="E66" s="7">
        <x:v>1.5169999999999999</x:v>
      </x:c>
      <x:c r="F66" s="4" t="s">
        <x:v>38</x:v>
      </x:c>
      <x:c r="G66" s="4" t="s">
        <x:v>53</x:v>
      </x:c>
      <x:c r="H66" s="4" t="s">
        <x:v>114</x:v>
      </x:c>
      <x:c r="I66" s="9" t="s">
        <x:v>115</x:v>
      </x:c>
      <x:c r="J66" s="9" t="s">
        <x:v>39</x:v>
      </x:c>
      <x:c r="K66" s="4" t="s">
        <x:v>56</x:v>
      </x:c>
      <x:c r="L66" s="9" t="s">
        <x:v>57</x:v>
      </x:c>
      <x:c r="M66" s="4"/>
    </x:row>
    <x:row r="67" ht="66" customHeight="1">
      <x:c r="A67" s="4" t="s">
        <x:v>131</x:v>
      </x:c>
      <x:c r="B67" s="4" t="s">
        <x:v>7</x:v>
      </x:c>
      <x:c r="C67" s="5">
        <x:v>298.14999999999998</x:v>
      </x:c>
      <x:c r="D67" s="6">
        <x:v>3</x:v>
      </x:c>
      <x:c r="E67" s="7">
        <x:v>1.5649999999999999</x:v>
      </x:c>
      <x:c r="F67" s="4" t="s">
        <x:v>38</x:v>
      </x:c>
      <x:c r="G67" s="4" t="s">
        <x:v>53</x:v>
      </x:c>
      <x:c r="H67" s="4" t="s">
        <x:v>114</x:v>
      </x:c>
      <x:c r="I67" s="9" t="s">
        <x:v>115</x:v>
      </x:c>
      <x:c r="J67" s="9" t="s">
        <x:v>39</x:v>
      </x:c>
      <x:c r="K67" s="4" t="s">
        <x:v>56</x:v>
      </x:c>
      <x:c r="L67" s="9" t="s">
        <x:v>57</x:v>
      </x:c>
      <x:c r="M67" s="4" t="s">
        <x:v>132</x:v>
      </x:c>
    </x:row>
    <x:row r="68" ht="66" customHeight="1">
      <x:c r="A68" s="4" t="s">
        <x:v>133</x:v>
      </x:c>
      <x:c r="B68" s="4" t="s">
        <x:v>7</x:v>
      </x:c>
      <x:c r="C68" s="5">
        <x:v>298.14999999999998</x:v>
      </x:c>
      <x:c r="D68" s="6">
        <x:v>4</x:v>
      </x:c>
      <x:c r="E68" s="7">
        <x:v>1.5940000000000001</x:v>
      </x:c>
      <x:c r="F68" s="4" t="s">
        <x:v>38</x:v>
      </x:c>
      <x:c r="G68" s="4" t="s">
        <x:v>53</x:v>
      </x:c>
      <x:c r="H68" s="4" t="s">
        <x:v>114</x:v>
      </x:c>
      <x:c r="I68" s="9" t="s">
        <x:v>115</x:v>
      </x:c>
      <x:c r="J68" s="9" t="s">
        <x:v>39</x:v>
      </x:c>
      <x:c r="K68" s="4" t="s">
        <x:v>56</x:v>
      </x:c>
      <x:c r="L68" s="9" t="s">
        <x:v>57</x:v>
      </x:c>
      <x:c r="M68" s="4" t="s">
        <x:v>134</x:v>
      </x:c>
    </x:row>
    <x:row r="69" ht="66" customHeight="1">
      <x:c r="A69" s="4" t="s">
        <x:v>135</x:v>
      </x:c>
      <x:c r="B69" s="4" t="s">
        <x:v>7</x:v>
      </x:c>
      <x:c r="C69" s="5">
        <x:v>298.14999999999998</x:v>
      </x:c>
      <x:c r="D69" s="6">
        <x:v>4.5260999999999996</x:v>
      </x:c>
      <x:c r="E69" s="7">
        <x:v>1.5920000000000001</x:v>
      </x:c>
      <x:c r="F69" s="4" t="s">
        <x:v>38</x:v>
      </x:c>
      <x:c r="G69" s="4" t="s">
        <x:v>53</x:v>
      </x:c>
      <x:c r="H69" s="4" t="s">
        <x:v>114</x:v>
      </x:c>
      <x:c r="I69" s="9" t="s">
        <x:v>115</x:v>
      </x:c>
      <x:c r="J69" s="9" t="s">
        <x:v>39</x:v>
      </x:c>
      <x:c r="K69" s="4" t="s">
        <x:v>56</x:v>
      </x:c>
      <x:c r="L69" s="9" t="s">
        <x:v>57</x:v>
      </x:c>
      <x:c r="M69" s="4"/>
    </x:row>
    <x:row r="70" ht="66" customHeight="1">
      <x:c r="A70" s="4" t="s">
        <x:v>136</x:v>
      </x:c>
      <x:c r="B70" s="4" t="s">
        <x:v>7</x:v>
      </x:c>
      <x:c r="C70" s="5">
        <x:v>298.14999999999998</x:v>
      </x:c>
      <x:c r="D70" s="6">
        <x:v>5</x:v>
      </x:c>
      <x:c r="E70" s="7">
        <x:v>1.59</x:v>
      </x:c>
      <x:c r="F70" s="4" t="s">
        <x:v>38</x:v>
      </x:c>
      <x:c r="G70" s="4" t="s">
        <x:v>53</x:v>
      </x:c>
      <x:c r="H70" s="4" t="s">
        <x:v>114</x:v>
      </x:c>
      <x:c r="I70" s="9" t="s">
        <x:v>115</x:v>
      </x:c>
      <x:c r="J70" s="9" t="s">
        <x:v>39</x:v>
      </x:c>
      <x:c r="K70" s="4" t="s">
        <x:v>56</x:v>
      </x:c>
      <x:c r="L70" s="9" t="s">
        <x:v>57</x:v>
      </x:c>
      <x:c r="M70" s="4" t="s">
        <x:v>137</x:v>
      </x:c>
    </x:row>
    <x:row r="71" ht="52.75" customHeight="1">
      <x:c r="A71" s="4" t="s">
        <x:v>138</x:v>
      </x:c>
      <x:c r="B71" s="4" t="s">
        <x:v>7</x:v>
      </x:c>
      <x:c r="C71" s="5">
        <x:v>323.14999999999998</x:v>
      </x:c>
      <x:c r="D71" s="6">
        <x:v>4.2100000000000002E-3</x:v>
      </x:c>
      <x:c r="E71" s="7">
        <x:v>2.5659999999999998</x:v>
      </x:c>
      <x:c r="F71" s="4" t="s">
        <x:v>34</x:v>
      </x:c>
      <x:c r="G71" s="4" t="s">
        <x:v>53</x:v>
      </x:c>
      <x:c r="H71" s="4" t="s">
        <x:v>90</x:v>
      </x:c>
      <x:c r="I71" s="9" t="s">
        <x:v>91</x:v>
      </x:c>
      <x:c r="J71" s="9" t="s">
        <x:v>35</x:v>
      </x:c>
      <x:c r="K71" s="4" t="s">
        <x:v>56</x:v>
      </x:c>
      <x:c r="L71" s="9" t="s">
        <x:v>57</x:v>
      </x:c>
      <x:c r="M71" s="4"/>
    </x:row>
    <x:row r="72" ht="52.75" customHeight="1">
      <x:c r="A72" s="4" t="s">
        <x:v>139</x:v>
      </x:c>
      <x:c r="B72" s="4" t="s">
        <x:v>7</x:v>
      </x:c>
      <x:c r="C72" s="5">
        <x:v>323.14999999999998</x:v>
      </x:c>
      <x:c r="D72" s="6">
        <x:v>5.1240000000000001E-3</x:v>
      </x:c>
      <x:c r="E72" s="7">
        <x:v>2.589</x:v>
      </x:c>
      <x:c r="F72" s="4" t="s">
        <x:v>34</x:v>
      </x:c>
      <x:c r="G72" s="4" t="s">
        <x:v>53</x:v>
      </x:c>
      <x:c r="H72" s="4" t="s">
        <x:v>90</x:v>
      </x:c>
      <x:c r="I72" s="9" t="s">
        <x:v>91</x:v>
      </x:c>
      <x:c r="J72" s="9" t="s">
        <x:v>35</x:v>
      </x:c>
      <x:c r="K72" s="4" t="s">
        <x:v>56</x:v>
      </x:c>
      <x:c r="L72" s="9" t="s">
        <x:v>57</x:v>
      </x:c>
      <x:c r="M72" s="4"/>
    </x:row>
    <x:row r="73" ht="52.75" customHeight="1">
      <x:c r="A73" s="4" t="s">
        <x:v>140</x:v>
      </x:c>
      <x:c r="B73" s="4" t="s">
        <x:v>7</x:v>
      </x:c>
      <x:c r="C73" s="5">
        <x:v>323.14999999999998</x:v>
      </x:c>
      <x:c r="D73" s="6">
        <x:v>5.9509999999999997E-3</x:v>
      </x:c>
      <x:c r="E73" s="7">
        <x:v>2.5880000000000001</x:v>
      </x:c>
      <x:c r="F73" s="4" t="s">
        <x:v>34</x:v>
      </x:c>
      <x:c r="G73" s="4" t="s">
        <x:v>53</x:v>
      </x:c>
      <x:c r="H73" s="4" t="s">
        <x:v>90</x:v>
      </x:c>
      <x:c r="I73" s="9" t="s">
        <x:v>91</x:v>
      </x:c>
      <x:c r="J73" s="9" t="s">
        <x:v>35</x:v>
      </x:c>
      <x:c r="K73" s="4" t="s">
        <x:v>56</x:v>
      </x:c>
      <x:c r="L73" s="9" t="s">
        <x:v>57</x:v>
      </x:c>
      <x:c r="M73" s="4"/>
    </x:row>
    <x:row r="74" ht="52.75" customHeight="1">
      <x:c r="A74" s="4" t="s">
        <x:v>141</x:v>
      </x:c>
      <x:c r="B74" s="4" t="s">
        <x:v>7</x:v>
      </x:c>
      <x:c r="C74" s="5">
        <x:v>323.14999999999998</x:v>
      </x:c>
      <x:c r="D74" s="6">
        <x:v>6.8690000000000001E-3</x:v>
      </x:c>
      <x:c r="E74" s="7">
        <x:v>2.5150000000000001</x:v>
      </x:c>
      <x:c r="F74" s="4" t="s">
        <x:v>34</x:v>
      </x:c>
      <x:c r="G74" s="4" t="s">
        <x:v>53</x:v>
      </x:c>
      <x:c r="H74" s="4" t="s">
        <x:v>90</x:v>
      </x:c>
      <x:c r="I74" s="9" t="s">
        <x:v>91</x:v>
      </x:c>
      <x:c r="J74" s="9" t="s">
        <x:v>35</x:v>
      </x:c>
      <x:c r="K74" s="4" t="s">
        <x:v>56</x:v>
      </x:c>
      <x:c r="L74" s="9" t="s">
        <x:v>57</x:v>
      </x:c>
      <x:c r="M74" s="4"/>
    </x:row>
    <x:row r="75" ht="52.75" customHeight="1">
      <x:c r="A75" s="4" t="s">
        <x:v>142</x:v>
      </x:c>
      <x:c r="B75" s="4" t="s">
        <x:v>7</x:v>
      </x:c>
      <x:c r="C75" s="5">
        <x:v>343.15</x:v>
      </x:c>
      <x:c r="D75" s="6">
        <x:v>6.4419999999999998E-3</x:v>
      </x:c>
      <x:c r="E75" s="7">
        <x:v>3.7509999999999999</x:v>
      </x:c>
      <x:c r="F75" s="4" t="s">
        <x:v>34</x:v>
      </x:c>
      <x:c r="G75" s="4" t="s">
        <x:v>53</x:v>
      </x:c>
      <x:c r="H75" s="4" t="s">
        <x:v>90</x:v>
      </x:c>
      <x:c r="I75" s="9" t="s">
        <x:v>91</x:v>
      </x:c>
      <x:c r="J75" s="9" t="s">
        <x:v>35</x:v>
      </x:c>
      <x:c r="K75" s="4" t="s">
        <x:v>56</x:v>
      </x:c>
      <x:c r="L75" s="9" t="s">
        <x:v>57</x:v>
      </x:c>
      <x:c r="M75" s="4"/>
    </x:row>
    <x:row r="76" ht="52.75" customHeight="1">
      <x:c r="A76" s="4" t="s">
        <x:v>143</x:v>
      </x:c>
      <x:c r="B76" s="4" t="s">
        <x:v>7</x:v>
      </x:c>
      <x:c r="C76" s="5">
        <x:v>343.15</x:v>
      </x:c>
      <x:c r="D76" s="6">
        <x:v>7.6309999999999998E-3</x:v>
      </x:c>
      <x:c r="E76" s="7">
        <x:v>3.802</x:v>
      </x:c>
      <x:c r="F76" s="4" t="s">
        <x:v>34</x:v>
      </x:c>
      <x:c r="G76" s="4" t="s">
        <x:v>53</x:v>
      </x:c>
      <x:c r="H76" s="4" t="s">
        <x:v>90</x:v>
      </x:c>
      <x:c r="I76" s="9" t="s">
        <x:v>91</x:v>
      </x:c>
      <x:c r="J76" s="9" t="s">
        <x:v>35</x:v>
      </x:c>
      <x:c r="K76" s="4" t="s">
        <x:v>56</x:v>
      </x:c>
      <x:c r="L76" s="9" t="s">
        <x:v>57</x:v>
      </x:c>
      <x:c r="M76" s="4"/>
    </x:row>
    <x:row r="77" ht="52.75" customHeight="1">
      <x:c r="A77" s="4" t="s">
        <x:v>144</x:v>
      </x:c>
      <x:c r="B77" s="4" t="s">
        <x:v>7</x:v>
      </x:c>
      <x:c r="C77" s="5">
        <x:v>353.15</x:v>
      </x:c>
      <x:c r="D77" s="6">
        <x:v>3.6089999999999998E-3</x:v>
      </x:c>
      <x:c r="E77" s="7">
        <x:v>4.3940000000000001</x:v>
      </x:c>
      <x:c r="F77" s="4" t="s">
        <x:v>34</x:v>
      </x:c>
      <x:c r="G77" s="4" t="s">
        <x:v>53</x:v>
      </x:c>
      <x:c r="H77" s="4" t="s">
        <x:v>90</x:v>
      </x:c>
      <x:c r="I77" s="9" t="s">
        <x:v>91</x:v>
      </x:c>
      <x:c r="J77" s="9" t="s">
        <x:v>35</x:v>
      </x:c>
      <x:c r="K77" s="4" t="s">
        <x:v>56</x:v>
      </x:c>
      <x:c r="L77" s="9" t="s">
        <x:v>57</x:v>
      </x:c>
      <x:c r="M77" s="4"/>
    </x:row>
    <x:row r="78" ht="52.75" customHeight="1">
      <x:c r="A78" s="4" t="s">
        <x:v>145</x:v>
      </x:c>
      <x:c r="B78" s="4" t="s">
        <x:v>7</x:v>
      </x:c>
      <x:c r="C78" s="5">
        <x:v>353.15</x:v>
      </x:c>
      <x:c r="D78" s="6">
        <x:v>5.1089999999999998E-3</x:v>
      </x:c>
      <x:c r="E78" s="7">
        <x:v>4.4340000000000002</x:v>
      </x:c>
      <x:c r="F78" s="4" t="s">
        <x:v>34</x:v>
      </x:c>
      <x:c r="G78" s="4" t="s">
        <x:v>53</x:v>
      </x:c>
      <x:c r="H78" s="4" t="s">
        <x:v>90</x:v>
      </x:c>
      <x:c r="I78" s="9" t="s">
        <x:v>91</x:v>
      </x:c>
      <x:c r="J78" s="9" t="s">
        <x:v>35</x:v>
      </x:c>
      <x:c r="K78" s="4" t="s">
        <x:v>56</x:v>
      </x:c>
      <x:c r="L78" s="9" t="s">
        <x:v>57</x:v>
      </x:c>
      <x:c r="M78" s="4"/>
    </x:row>
    <x:row r="79" ht="52.75" customHeight="1">
      <x:c r="A79" s="4" t="s">
        <x:v>146</x:v>
      </x:c>
      <x:c r="B79" s="4" t="s">
        <x:v>7</x:v>
      </x:c>
      <x:c r="C79" s="5">
        <x:v>353.15</x:v>
      </x:c>
      <x:c r="D79" s="6">
        <x:v>6.5950000000000002E-3</x:v>
      </x:c>
      <x:c r="E79" s="7">
        <x:v>4.4189999999999996</x:v>
      </x:c>
      <x:c r="F79" s="4" t="s">
        <x:v>34</x:v>
      </x:c>
      <x:c r="G79" s="4" t="s">
        <x:v>53</x:v>
      </x:c>
      <x:c r="H79" s="4" t="s">
        <x:v>90</x:v>
      </x:c>
      <x:c r="I79" s="9" t="s">
        <x:v>91</x:v>
      </x:c>
      <x:c r="J79" s="9" t="s">
        <x:v>35</x:v>
      </x:c>
      <x:c r="K79" s="4" t="s">
        <x:v>56</x:v>
      </x:c>
      <x:c r="L79" s="9" t="s">
        <x:v>57</x:v>
      </x:c>
      <x:c r="M79" s="4"/>
    </x:row>
    <x:row r="80" ht="39.5" customHeight="1">
      <x:c r="A80" s="4" t="s">
        <x:v>147</x:v>
      </x:c>
      <x:c r="B80" s="4" t="s">
        <x:v>7</x:v>
      </x:c>
      <x:c r="C80" s="5">
        <x:v>273.14999999999998</x:v>
      </x:c>
      <x:c r="D80" s="6">
        <x:v>7.6799999999999993E-2</x:v>
      </x:c>
      <x:c r="E80" s="7">
        <x:v>0.72499999999999998</x:v>
      </x:c>
      <x:c r="F80" s="4" t="s">
        <x:v>30</x:v>
      </x:c>
      <x:c r="G80" s="4" t="s">
        <x:v>148</x:v>
      </x:c>
      <x:c r="H80" s="4" t="s">
        <x:v>149</x:v>
      </x:c>
      <x:c r="I80" s="9" t="s">
        <x:v>150</x:v>
      </x:c>
      <x:c r="J80" s="9" t="s">
        <x:v>31</x:v>
      </x:c>
      <x:c r="K80" s="4" t="s">
        <x:v>151</x:v>
      </x:c>
      <x:c r="L80" s="9" t="s">
        <x:v>152</x:v>
      </x:c>
      <x:c r="M80" s="4"/>
    </x:row>
    <x:row r="81" ht="39.5" customHeight="1">
      <x:c r="A81" s="4" t="s">
        <x:v>153</x:v>
      </x:c>
      <x:c r="B81" s="4" t="s">
        <x:v>7</x:v>
      </x:c>
      <x:c r="C81" s="5">
        <x:v>273.14999999999998</x:v>
      </x:c>
      <x:c r="D81" s="6">
        <x:v>0.14960000000000001</x:v>
      </x:c>
      <x:c r="E81" s="7">
        <x:v>0.71</x:v>
      </x:c>
      <x:c r="F81" s="4" t="s">
        <x:v>30</x:v>
      </x:c>
      <x:c r="G81" s="4" t="s">
        <x:v>148</x:v>
      </x:c>
      <x:c r="H81" s="4" t="s">
        <x:v>149</x:v>
      </x:c>
      <x:c r="I81" s="9" t="s">
        <x:v>150</x:v>
      </x:c>
      <x:c r="J81" s="9" t="s">
        <x:v>31</x:v>
      </x:c>
      <x:c r="K81" s="4" t="s">
        <x:v>151</x:v>
      </x:c>
      <x:c r="L81" s="9" t="s">
        <x:v>152</x:v>
      </x:c>
      <x:c r="M81" s="4"/>
    </x:row>
    <x:row r="82" ht="39.5" customHeight="1">
      <x:c r="A82" s="4" t="s">
        <x:v>154</x:v>
      </x:c>
      <x:c r="B82" s="4" t="s">
        <x:v>7</x:v>
      </x:c>
      <x:c r="C82" s="5">
        <x:v>273.14999999999998</x:v>
      </x:c>
      <x:c r="D82" s="6">
        <x:v>0.19919999999999999</x:v>
      </x:c>
      <x:c r="E82" s="7">
        <x:v>0.70699999999999996</x:v>
      </x:c>
      <x:c r="F82" s="4" t="s">
        <x:v>30</x:v>
      </x:c>
      <x:c r="G82" s="4" t="s">
        <x:v>148</x:v>
      </x:c>
      <x:c r="H82" s="4" t="s">
        <x:v>149</x:v>
      </x:c>
      <x:c r="I82" s="9" t="s">
        <x:v>150</x:v>
      </x:c>
      <x:c r="J82" s="9" t="s">
        <x:v>31</x:v>
      </x:c>
      <x:c r="K82" s="4" t="s">
        <x:v>151</x:v>
      </x:c>
      <x:c r="L82" s="9" t="s">
        <x:v>152</x:v>
      </x:c>
      <x:c r="M82" s="4"/>
    </x:row>
    <x:row r="83" ht="39.5" customHeight="1">
      <x:c r="A83" s="4" t="s">
        <x:v>155</x:v>
      </x:c>
      <x:c r="B83" s="4" t="s">
        <x:v>7</x:v>
      </x:c>
      <x:c r="C83" s="5">
        <x:v>273.14999999999998</x:v>
      </x:c>
      <x:c r="D83" s="6">
        <x:v>0.2492</x:v>
      </x:c>
      <x:c r="E83" s="7">
        <x:v>0.69899999999999995</x:v>
      </x:c>
      <x:c r="F83" s="4" t="s">
        <x:v>30</x:v>
      </x:c>
      <x:c r="G83" s="4" t="s">
        <x:v>148</x:v>
      </x:c>
      <x:c r="H83" s="4" t="s">
        <x:v>149</x:v>
      </x:c>
      <x:c r="I83" s="9" t="s">
        <x:v>150</x:v>
      </x:c>
      <x:c r="J83" s="9" t="s">
        <x:v>31</x:v>
      </x:c>
      <x:c r="K83" s="4" t="s">
        <x:v>151</x:v>
      </x:c>
      <x:c r="L83" s="9" t="s">
        <x:v>152</x:v>
      </x:c>
      <x:c r="M83" s="4"/>
    </x:row>
    <x:row r="84" ht="39.5" customHeight="1">
      <x:c r="A84" s="4" t="s">
        <x:v>156</x:v>
      </x:c>
      <x:c r="B84" s="4" t="s">
        <x:v>7</x:v>
      </x:c>
      <x:c r="C84" s="5">
        <x:v>273.14999999999998</x:v>
      </x:c>
      <x:c r="D84" s="6">
        <x:v>0.29559999999999997</x:v>
      </x:c>
      <x:c r="E84" s="7">
        <x:v>0.69699999999999995</x:v>
      </x:c>
      <x:c r="F84" s="4" t="s">
        <x:v>30</x:v>
      </x:c>
      <x:c r="G84" s="4" t="s">
        <x:v>148</x:v>
      </x:c>
      <x:c r="H84" s="4" t="s">
        <x:v>149</x:v>
      </x:c>
      <x:c r="I84" s="9" t="s">
        <x:v>150</x:v>
      </x:c>
      <x:c r="J84" s="9" t="s">
        <x:v>31</x:v>
      </x:c>
      <x:c r="K84" s="4" t="s">
        <x:v>151</x:v>
      </x:c>
      <x:c r="L84" s="9" t="s">
        <x:v>152</x:v>
      </x:c>
      <x:c r="M84" s="4"/>
    </x:row>
    <x:row r="85" ht="39.5" customHeight="1">
      <x:c r="A85" s="4" t="s">
        <x:v>157</x:v>
      </x:c>
      <x:c r="B85" s="4" t="s">
        <x:v>7</x:v>
      </x:c>
      <x:c r="C85" s="5">
        <x:v>273.14999999999998</x:v>
      </x:c>
      <x:c r="D85" s="6">
        <x:v>0.39750000000000002</x:v>
      </x:c>
      <x:c r="E85" s="7">
        <x:v>0.69799999999999995</x:v>
      </x:c>
      <x:c r="F85" s="4" t="s">
        <x:v>30</x:v>
      </x:c>
      <x:c r="G85" s="4" t="s">
        <x:v>148</x:v>
      </x:c>
      <x:c r="H85" s="4" t="s">
        <x:v>149</x:v>
      </x:c>
      <x:c r="I85" s="9" t="s">
        <x:v>150</x:v>
      </x:c>
      <x:c r="J85" s="9" t="s">
        <x:v>31</x:v>
      </x:c>
      <x:c r="K85" s="4" t="s">
        <x:v>151</x:v>
      </x:c>
      <x:c r="L85" s="9" t="s">
        <x:v>152</x:v>
      </x:c>
      <x:c r="M85" s="4"/>
    </x:row>
    <x:row r="86" ht="39.5" customHeight="1">
      <x:c r="A86" s="4" t="s">
        <x:v>158</x:v>
      </x:c>
      <x:c r="B86" s="4" t="s">
        <x:v>7</x:v>
      </x:c>
      <x:c r="C86" s="5">
        <x:v>273.14999999999998</x:v>
      </x:c>
      <x:c r="D86" s="6">
        <x:v>0.59430000000000005</x:v>
      </x:c>
      <x:c r="E86" s="7">
        <x:v>0.69899999999999995</x:v>
      </x:c>
      <x:c r="F86" s="4" t="s">
        <x:v>30</x:v>
      </x:c>
      <x:c r="G86" s="4" t="s">
        <x:v>148</x:v>
      </x:c>
      <x:c r="H86" s="4" t="s">
        <x:v>149</x:v>
      </x:c>
      <x:c r="I86" s="9" t="s">
        <x:v>150</x:v>
      </x:c>
      <x:c r="J86" s="9" t="s">
        <x:v>31</x:v>
      </x:c>
      <x:c r="K86" s="4" t="s">
        <x:v>151</x:v>
      </x:c>
      <x:c r="L86" s="9" t="s">
        <x:v>152</x:v>
      </x:c>
      <x:c r="M86" s="4"/>
    </x:row>
    <x:row r="87" ht="39.5" customHeight="1">
      <x:c r="A87" s="4" t="s">
        <x:v>159</x:v>
      </x:c>
      <x:c r="B87" s="4" t="s">
        <x:v>7</x:v>
      </x:c>
      <x:c r="C87" s="5">
        <x:v>273.14999999999998</x:v>
      </x:c>
      <x:c r="D87" s="6">
        <x:v>0.98429999999999995</x:v>
      </x:c>
      <x:c r="E87" s="7">
        <x:v>0.70799999999999996</x:v>
      </x:c>
      <x:c r="F87" s="4" t="s">
        <x:v>30</x:v>
      </x:c>
      <x:c r="G87" s="4" t="s">
        <x:v>148</x:v>
      </x:c>
      <x:c r="H87" s="4" t="s">
        <x:v>149</x:v>
      </x:c>
      <x:c r="I87" s="9" t="s">
        <x:v>150</x:v>
      </x:c>
      <x:c r="J87" s="9" t="s">
        <x:v>31</x:v>
      </x:c>
      <x:c r="K87" s="4" t="s">
        <x:v>151</x:v>
      </x:c>
      <x:c r="L87" s="9" t="s">
        <x:v>152</x:v>
      </x:c>
      <x:c r="M87" s="4"/>
    </x:row>
    <x:row r="88" ht="39.5" customHeight="1">
      <x:c r="A88" s="4" t="s">
        <x:v>160</x:v>
      </x:c>
      <x:c r="B88" s="4" t="s">
        <x:v>7</x:v>
      </x:c>
      <x:c r="C88" s="5">
        <x:v>273.14999999999998</x:v>
      </x:c>
      <x:c r="D88" s="6">
        <x:v>1.4636</x:v>
      </x:c>
      <x:c r="E88" s="7">
        <x:v>0.72099999999999997</x:v>
      </x:c>
      <x:c r="F88" s="4" t="s">
        <x:v>30</x:v>
      </x:c>
      <x:c r="G88" s="4" t="s">
        <x:v>148</x:v>
      </x:c>
      <x:c r="H88" s="4" t="s">
        <x:v>149</x:v>
      </x:c>
      <x:c r="I88" s="9" t="s">
        <x:v>150</x:v>
      </x:c>
      <x:c r="J88" s="9" t="s">
        <x:v>31</x:v>
      </x:c>
      <x:c r="K88" s="4" t="s">
        <x:v>151</x:v>
      </x:c>
      <x:c r="L88" s="9" t="s">
        <x:v>152</x:v>
      </x:c>
      <x:c r="M88" s="4"/>
    </x:row>
    <x:row r="89" ht="39.5" customHeight="1">
      <x:c r="A89" s="4" t="s">
        <x:v>161</x:v>
      </x:c>
      <x:c r="B89" s="4" t="s">
        <x:v>7</x:v>
      </x:c>
      <x:c r="C89" s="5">
        <x:v>273.14999999999998</x:v>
      </x:c>
      <x:c r="D89" s="6">
        <x:v>1.9337</x:v>
      </x:c>
      <x:c r="E89" s="7">
        <x:v>0.73399999999999999</x:v>
      </x:c>
      <x:c r="F89" s="4" t="s">
        <x:v>30</x:v>
      </x:c>
      <x:c r="G89" s="4" t="s">
        <x:v>148</x:v>
      </x:c>
      <x:c r="H89" s="4" t="s">
        <x:v>149</x:v>
      </x:c>
      <x:c r="I89" s="9" t="s">
        <x:v>150</x:v>
      </x:c>
      <x:c r="J89" s="9" t="s">
        <x:v>31</x:v>
      </x:c>
      <x:c r="K89" s="4" t="s">
        <x:v>151</x:v>
      </x:c>
      <x:c r="L89" s="9" t="s">
        <x:v>152</x:v>
      </x:c>
      <x:c r="M89" s="4"/>
    </x:row>
    <x:row r="90" ht="39.5" customHeight="1">
      <x:c r="A90" s="4" t="s">
        <x:v>162</x:v>
      </x:c>
      <x:c r="B90" s="4" t="s">
        <x:v>7</x:v>
      </x:c>
      <x:c r="C90" s="5">
        <x:v>273.14999999999998</x:v>
      </x:c>
      <x:c r="D90" s="6">
        <x:v>1.9346000000000001</x:v>
      </x:c>
      <x:c r="E90" s="7">
        <x:v>0.73399999999999999</x:v>
      </x:c>
      <x:c r="F90" s="4" t="s">
        <x:v>30</x:v>
      </x:c>
      <x:c r="G90" s="4" t="s">
        <x:v>148</x:v>
      </x:c>
      <x:c r="H90" s="4" t="s">
        <x:v>149</x:v>
      </x:c>
      <x:c r="I90" s="9" t="s">
        <x:v>150</x:v>
      </x:c>
      <x:c r="J90" s="9" t="s">
        <x:v>31</x:v>
      </x:c>
      <x:c r="K90" s="4" t="s">
        <x:v>151</x:v>
      </x:c>
      <x:c r="L90" s="9" t="s">
        <x:v>152</x:v>
      </x:c>
      <x:c r="M90" s="4"/>
    </x:row>
    <x:row r="91" ht="39.5" customHeight="1">
      <x:c r="A91" s="4" t="s">
        <x:v>163</x:v>
      </x:c>
      <x:c r="B91" s="4" t="s">
        <x:v>7</x:v>
      </x:c>
      <x:c r="C91" s="5">
        <x:v>273.14999999999998</x:v>
      </x:c>
      <x:c r="D91" s="6">
        <x:v>2.3952</x:v>
      </x:c>
      <x:c r="E91" s="7">
        <x:v>0.74299999999999999</x:v>
      </x:c>
      <x:c r="F91" s="4" t="s">
        <x:v>30</x:v>
      </x:c>
      <x:c r="G91" s="4" t="s">
        <x:v>148</x:v>
      </x:c>
      <x:c r="H91" s="4" t="s">
        <x:v>149</x:v>
      </x:c>
      <x:c r="I91" s="9" t="s">
        <x:v>150</x:v>
      </x:c>
      <x:c r="J91" s="9" t="s">
        <x:v>31</x:v>
      </x:c>
      <x:c r="K91" s="4" t="s">
        <x:v>151</x:v>
      </x:c>
      <x:c r="L91" s="9" t="s">
        <x:v>152</x:v>
      </x:c>
      <x:c r="M91" s="4"/>
    </x:row>
    <x:row r="92" ht="39.5" customHeight="1">
      <x:c r="A92" s="4" t="s">
        <x:v>164</x:v>
      </x:c>
      <x:c r="B92" s="4" t="s">
        <x:v>7</x:v>
      </x:c>
      <x:c r="C92" s="5">
        <x:v>273.14999999999998</x:v>
      </x:c>
      <x:c r="D92" s="6">
        <x:v>2.8472</x:v>
      </x:c>
      <x:c r="E92" s="7">
        <x:v>0.75600000000000001</x:v>
      </x:c>
      <x:c r="F92" s="4" t="s">
        <x:v>30</x:v>
      </x:c>
      <x:c r="G92" s="4" t="s">
        <x:v>148</x:v>
      </x:c>
      <x:c r="H92" s="4" t="s">
        <x:v>149</x:v>
      </x:c>
      <x:c r="I92" s="9" t="s">
        <x:v>150</x:v>
      </x:c>
      <x:c r="J92" s="9" t="s">
        <x:v>31</x:v>
      </x:c>
      <x:c r="K92" s="4" t="s">
        <x:v>151</x:v>
      </x:c>
      <x:c r="L92" s="9" t="s">
        <x:v>152</x:v>
      </x:c>
      <x:c r="M92" s="4"/>
    </x:row>
    <x:row r="93" ht="39.5" customHeight="1">
      <x:c r="A93" s="4" t="s">
        <x:v>165</x:v>
      </x:c>
      <x:c r="B93" s="4" t="s">
        <x:v>7</x:v>
      </x:c>
      <x:c r="C93" s="5">
        <x:v>273.14999999999998</x:v>
      </x:c>
      <x:c r="D93" s="6">
        <x:v>3.7214999999999998</x:v>
      </x:c>
      <x:c r="E93" s="7">
        <x:v>0.78</x:v>
      </x:c>
      <x:c r="F93" s="4" t="s">
        <x:v>30</x:v>
      </x:c>
      <x:c r="G93" s="4" t="s">
        <x:v>148</x:v>
      </x:c>
      <x:c r="H93" s="4" t="s">
        <x:v>149</x:v>
      </x:c>
      <x:c r="I93" s="9" t="s">
        <x:v>150</x:v>
      </x:c>
      <x:c r="J93" s="9" t="s">
        <x:v>31</x:v>
      </x:c>
      <x:c r="K93" s="4" t="s">
        <x:v>151</x:v>
      </x:c>
      <x:c r="L93" s="9" t="s">
        <x:v>152</x:v>
      </x:c>
      <x:c r="M93" s="4"/>
    </x:row>
    <x:row r="94" ht="39.5" customHeight="1">
      <x:c r="A94" s="4" t="s">
        <x:v>166</x:v>
      </x:c>
      <x:c r="B94" s="4" t="s">
        <x:v>7</x:v>
      </x:c>
      <x:c r="C94" s="5">
        <x:v>291.14999999999998</x:v>
      </x:c>
      <x:c r="D94" s="6">
        <x:v>0.05</x:v>
      </x:c>
      <x:c r="E94" s="7">
        <x:v>1.26</x:v>
      </x:c>
      <x:c r="F94" s="4" t="s">
        <x:v>24</x:v>
      </x:c>
      <x:c r="G94" s="4" t="s">
        <x:v>148</x:v>
      </x:c>
      <x:c r="H94" s="4" t="s">
        <x:v>149</x:v>
      </x:c>
      <x:c r="I94" s="9" t="s">
        <x:v>167</x:v>
      </x:c>
      <x:c r="J94" s="9" t="s">
        <x:v>25</x:v>
      </x:c>
      <x:c r="K94" s="4" t="s">
        <x:v>151</x:v>
      </x:c>
      <x:c r="L94" s="9" t="s">
        <x:v>152</x:v>
      </x:c>
      <x:c r="M94" s="4"/>
    </x:row>
    <x:row r="95" ht="39.5" customHeight="1">
      <x:c r="A95" s="4" t="s">
        <x:v>168</x:v>
      </x:c>
      <x:c r="B95" s="4" t="s">
        <x:v>7</x:v>
      </x:c>
      <x:c r="C95" s="5">
        <x:v>291.14999999999998</x:v>
      </x:c>
      <x:c r="D95" s="6">
        <x:v>0.1</x:v>
      </x:c>
      <x:c r="E95" s="7">
        <x:v>1.24</x:v>
      </x:c>
      <x:c r="F95" s="4" t="s">
        <x:v>24</x:v>
      </x:c>
      <x:c r="G95" s="4" t="s">
        <x:v>148</x:v>
      </x:c>
      <x:c r="H95" s="4" t="s">
        <x:v>149</x:v>
      </x:c>
      <x:c r="I95" s="9" t="s">
        <x:v>167</x:v>
      </x:c>
      <x:c r="J95" s="9" t="s">
        <x:v>25</x:v>
      </x:c>
      <x:c r="K95" s="4" t="s">
        <x:v>151</x:v>
      </x:c>
      <x:c r="L95" s="9" t="s">
        <x:v>152</x:v>
      </x:c>
      <x:c r="M95" s="4"/>
    </x:row>
    <x:row r="96" ht="39.5" customHeight="1">
      <x:c r="A96" s="4" t="s">
        <x:v>169</x:v>
      </x:c>
      <x:c r="B96" s="4" t="s">
        <x:v>7</x:v>
      </x:c>
      <x:c r="C96" s="5">
        <x:v>291.14999999999998</x:v>
      </x:c>
      <x:c r="D96" s="6">
        <x:v>0.2</x:v>
      </x:c>
      <x:c r="E96" s="7">
        <x:v>1.22</x:v>
      </x:c>
      <x:c r="F96" s="4" t="s">
        <x:v>24</x:v>
      </x:c>
      <x:c r="G96" s="4" t="s">
        <x:v>148</x:v>
      </x:c>
      <x:c r="H96" s="4" t="s">
        <x:v>149</x:v>
      </x:c>
      <x:c r="I96" s="9" t="s">
        <x:v>167</x:v>
      </x:c>
      <x:c r="J96" s="9" t="s">
        <x:v>25</x:v>
      </x:c>
      <x:c r="K96" s="4" t="s">
        <x:v>151</x:v>
      </x:c>
      <x:c r="L96" s="9" t="s">
        <x:v>152</x:v>
      </x:c>
      <x:c r="M96" s="4"/>
    </x:row>
    <x:row r="97" ht="39.5" customHeight="1">
      <x:c r="A97" s="4" t="s">
        <x:v>170</x:v>
      </x:c>
      <x:c r="B97" s="4" t="s">
        <x:v>7</x:v>
      </x:c>
      <x:c r="C97" s="5">
        <x:v>291.14999999999998</x:v>
      </x:c>
      <x:c r="D97" s="6">
        <x:v>0.4</x:v>
      </x:c>
      <x:c r="E97" s="7">
        <x:v>1.2</x:v>
      </x:c>
      <x:c r="F97" s="4" t="s">
        <x:v>24</x:v>
      </x:c>
      <x:c r="G97" s="4" t="s">
        <x:v>148</x:v>
      </x:c>
      <x:c r="H97" s="4" t="s">
        <x:v>149</x:v>
      </x:c>
      <x:c r="I97" s="9" t="s">
        <x:v>167</x:v>
      </x:c>
      <x:c r="J97" s="9" t="s">
        <x:v>25</x:v>
      </x:c>
      <x:c r="K97" s="4" t="s">
        <x:v>151</x:v>
      </x:c>
      <x:c r="L97" s="9" t="s">
        <x:v>152</x:v>
      </x:c>
      <x:c r="M97" s="4"/>
    </x:row>
    <x:row r="98" ht="39.5" customHeight="1">
      <x:c r="A98" s="4" t="s">
        <x:v>171</x:v>
      </x:c>
      <x:c r="B98" s="4" t="s">
        <x:v>7</x:v>
      </x:c>
      <x:c r="C98" s="5">
        <x:v>291.14999999999998</x:v>
      </x:c>
      <x:c r="D98" s="6">
        <x:v>0.6</x:v>
      </x:c>
      <x:c r="E98" s="7">
        <x:v>1.21</x:v>
      </x:c>
      <x:c r="F98" s="4" t="s">
        <x:v>24</x:v>
      </x:c>
      <x:c r="G98" s="4" t="s">
        <x:v>148</x:v>
      </x:c>
      <x:c r="H98" s="4" t="s">
        <x:v>149</x:v>
      </x:c>
      <x:c r="I98" s="9" t="s">
        <x:v>167</x:v>
      </x:c>
      <x:c r="J98" s="9" t="s">
        <x:v>25</x:v>
      </x:c>
      <x:c r="K98" s="4" t="s">
        <x:v>151</x:v>
      </x:c>
      <x:c r="L98" s="9" t="s">
        <x:v>152</x:v>
      </x:c>
      <x:c r="M98" s="4"/>
    </x:row>
    <x:row r="99" ht="39.5" customHeight="1">
      <x:c r="A99" s="4" t="s">
        <x:v>172</x:v>
      </x:c>
      <x:c r="B99" s="4" t="s">
        <x:v>7</x:v>
      </x:c>
      <x:c r="C99" s="5">
        <x:v>291.14999999999998</x:v>
      </x:c>
      <x:c r="D99" s="6">
        <x:v>0.8</x:v>
      </x:c>
      <x:c r="E99" s="7">
        <x:v>1.22</x:v>
      </x:c>
      <x:c r="F99" s="4" t="s">
        <x:v>24</x:v>
      </x:c>
      <x:c r="G99" s="4" t="s">
        <x:v>148</x:v>
      </x:c>
      <x:c r="H99" s="4" t="s">
        <x:v>149</x:v>
      </x:c>
      <x:c r="I99" s="9" t="s">
        <x:v>167</x:v>
      </x:c>
      <x:c r="J99" s="9" t="s">
        <x:v>25</x:v>
      </x:c>
      <x:c r="K99" s="4" t="s">
        <x:v>151</x:v>
      </x:c>
      <x:c r="L99" s="9" t="s">
        <x:v>152</x:v>
      </x:c>
      <x:c r="M99" s="4"/>
    </x:row>
    <x:row r="100" ht="39.5" customHeight="1">
      <x:c r="A100" s="4" t="s">
        <x:v>173</x:v>
      </x:c>
      <x:c r="B100" s="4" t="s">
        <x:v>7</x:v>
      </x:c>
      <x:c r="C100" s="5">
        <x:v>291.14999999999998</x:v>
      </x:c>
      <x:c r="D100" s="6">
        <x:v>1</x:v>
      </x:c>
      <x:c r="E100" s="7">
        <x:v>1.23</x:v>
      </x:c>
      <x:c r="F100" s="4" t="s">
        <x:v>24</x:v>
      </x:c>
      <x:c r="G100" s="4" t="s">
        <x:v>148</x:v>
      </x:c>
      <x:c r="H100" s="4" t="s">
        <x:v>149</x:v>
      </x:c>
      <x:c r="I100" s="9" t="s">
        <x:v>167</x:v>
      </x:c>
      <x:c r="J100" s="9" t="s">
        <x:v>25</x:v>
      </x:c>
      <x:c r="K100" s="4" t="s">
        <x:v>151</x:v>
      </x:c>
      <x:c r="L100" s="9" t="s">
        <x:v>152</x:v>
      </x:c>
      <x:c r="M100" s="4"/>
    </x:row>
    <x:row r="101" ht="39.5" customHeight="1">
      <x:c r="A101" s="4" t="s">
        <x:v>174</x:v>
      </x:c>
      <x:c r="B101" s="4" t="s">
        <x:v>7</x:v>
      </x:c>
      <x:c r="C101" s="5">
        <x:v>291.14999999999998</x:v>
      </x:c>
      <x:c r="D101" s="6">
        <x:v>1.5</x:v>
      </x:c>
      <x:c r="E101" s="7">
        <x:v>1.26</x:v>
      </x:c>
      <x:c r="F101" s="4" t="s">
        <x:v>24</x:v>
      </x:c>
      <x:c r="G101" s="4" t="s">
        <x:v>148</x:v>
      </x:c>
      <x:c r="H101" s="4" t="s">
        <x:v>149</x:v>
      </x:c>
      <x:c r="I101" s="9" t="s">
        <x:v>167</x:v>
      </x:c>
      <x:c r="J101" s="9" t="s">
        <x:v>25</x:v>
      </x:c>
      <x:c r="K101" s="4" t="s">
        <x:v>151</x:v>
      </x:c>
      <x:c r="L101" s="9" t="s">
        <x:v>152</x:v>
      </x:c>
      <x:c r="M101" s="4"/>
    </x:row>
    <x:row r="102" ht="39.5" customHeight="1">
      <x:c r="A102" s="4" t="s">
        <x:v>175</x:v>
      </x:c>
      <x:c r="B102" s="4" t="s">
        <x:v>7</x:v>
      </x:c>
      <x:c r="C102" s="5">
        <x:v>291.14999999999998</x:v>
      </x:c>
      <x:c r="D102" s="6">
        <x:v>2</x:v>
      </x:c>
      <x:c r="E102" s="7">
        <x:v>1.29</x:v>
      </x:c>
      <x:c r="F102" s="4" t="s">
        <x:v>24</x:v>
      </x:c>
      <x:c r="G102" s="4" t="s">
        <x:v>148</x:v>
      </x:c>
      <x:c r="H102" s="4" t="s">
        <x:v>149</x:v>
      </x:c>
      <x:c r="I102" s="9" t="s">
        <x:v>167</x:v>
      </x:c>
      <x:c r="J102" s="9" t="s">
        <x:v>25</x:v>
      </x:c>
      <x:c r="K102" s="4" t="s">
        <x:v>151</x:v>
      </x:c>
      <x:c r="L102" s="9" t="s">
        <x:v>152</x:v>
      </x:c>
      <x:c r="M102" s="4"/>
    </x:row>
    <x:row r="103" ht="39.5" customHeight="1">
      <x:c r="A103" s="4" t="s">
        <x:v>176</x:v>
      </x:c>
      <x:c r="B103" s="4" t="s">
        <x:v>7</x:v>
      </x:c>
      <x:c r="C103" s="5">
        <x:v>291.14999999999998</x:v>
      </x:c>
      <x:c r="D103" s="6">
        <x:v>2.5</x:v>
      </x:c>
      <x:c r="E103" s="7">
        <x:v>1.33</x:v>
      </x:c>
      <x:c r="F103" s="4" t="s">
        <x:v>24</x:v>
      </x:c>
      <x:c r="G103" s="4" t="s">
        <x:v>148</x:v>
      </x:c>
      <x:c r="H103" s="4" t="s">
        <x:v>149</x:v>
      </x:c>
      <x:c r="I103" s="9" t="s">
        <x:v>167</x:v>
      </x:c>
      <x:c r="J103" s="9" t="s">
        <x:v>25</x:v>
      </x:c>
      <x:c r="K103" s="4" t="s">
        <x:v>151</x:v>
      </x:c>
      <x:c r="L103" s="9" t="s">
        <x:v>152</x:v>
      </x:c>
      <x:c r="M103" s="4"/>
    </x:row>
    <x:row r="104" ht="39.5" customHeight="1">
      <x:c r="A104" s="4" t="s">
        <x:v>177</x:v>
      </x:c>
      <x:c r="B104" s="4" t="s">
        <x:v>7</x:v>
      </x:c>
      <x:c r="C104" s="5">
        <x:v>291.14999999999998</x:v>
      </x:c>
      <x:c r="D104" s="6">
        <x:v>3</x:v>
      </x:c>
      <x:c r="E104" s="7">
        <x:v>1.36</x:v>
      </x:c>
      <x:c r="F104" s="4" t="s">
        <x:v>24</x:v>
      </x:c>
      <x:c r="G104" s="4" t="s">
        <x:v>148</x:v>
      </x:c>
      <x:c r="H104" s="4" t="s">
        <x:v>149</x:v>
      </x:c>
      <x:c r="I104" s="9" t="s">
        <x:v>167</x:v>
      </x:c>
      <x:c r="J104" s="9" t="s">
        <x:v>25</x:v>
      </x:c>
      <x:c r="K104" s="4" t="s">
        <x:v>151</x:v>
      </x:c>
      <x:c r="L104" s="9" t="s">
        <x:v>152</x:v>
      </x:c>
      <x:c r="M104" s="4"/>
    </x:row>
    <x:row r="105" ht="39.5" customHeight="1">
      <x:c r="A105" s="4" t="s">
        <x:v>178</x:v>
      </x:c>
      <x:c r="B105" s="4" t="s">
        <x:v>7</x:v>
      </x:c>
      <x:c r="C105" s="5">
        <x:v>291.14999999999998</x:v>
      </x:c>
      <x:c r="D105" s="6">
        <x:v>3.5</x:v>
      </x:c>
      <x:c r="E105" s="7">
        <x:v>1.39</x:v>
      </x:c>
      <x:c r="F105" s="4" t="s">
        <x:v>24</x:v>
      </x:c>
      <x:c r="G105" s="4" t="s">
        <x:v>148</x:v>
      </x:c>
      <x:c r="H105" s="4" t="s">
        <x:v>149</x:v>
      </x:c>
      <x:c r="I105" s="9" t="s">
        <x:v>167</x:v>
      </x:c>
      <x:c r="J105" s="9" t="s">
        <x:v>25</x:v>
      </x:c>
      <x:c r="K105" s="4" t="s">
        <x:v>151</x:v>
      </x:c>
      <x:c r="L105" s="9" t="s">
        <x:v>152</x:v>
      </x:c>
      <x:c r="M105" s="4"/>
    </x:row>
    <x:row r="106" ht="39.5" customHeight="1">
      <x:c r="A106" s="4" t="s">
        <x:v>179</x:v>
      </x:c>
      <x:c r="B106" s="4" t="s">
        <x:v>7</x:v>
      </x:c>
      <x:c r="C106" s="5">
        <x:v>291.14999999999998</x:v>
      </x:c>
      <x:c r="D106" s="6">
        <x:v>4</x:v>
      </x:c>
      <x:c r="E106" s="7">
        <x:v>1.43</x:v>
      </x:c>
      <x:c r="F106" s="4" t="s">
        <x:v>24</x:v>
      </x:c>
      <x:c r="G106" s="4" t="s">
        <x:v>148</x:v>
      </x:c>
      <x:c r="H106" s="4" t="s">
        <x:v>149</x:v>
      </x:c>
      <x:c r="I106" s="9" t="s">
        <x:v>167</x:v>
      </x:c>
      <x:c r="J106" s="9" t="s">
        <x:v>25</x:v>
      </x:c>
      <x:c r="K106" s="4" t="s">
        <x:v>151</x:v>
      </x:c>
      <x:c r="L106" s="9" t="s">
        <x:v>152</x:v>
      </x:c>
      <x:c r="M106" s="4"/>
    </x:row>
    <x:row r="107" ht="39.5" customHeight="1">
      <x:c r="A107" s="4" t="s">
        <x:v>180</x:v>
      </x:c>
      <x:c r="B107" s="4" t="s">
        <x:v>7</x:v>
      </x:c>
      <x:c r="C107" s="5">
        <x:v>291.14999999999998</x:v>
      </x:c>
      <x:c r="D107" s="6">
        <x:v>4.5</x:v>
      </x:c>
      <x:c r="E107" s="7">
        <x:v>1.46</x:v>
      </x:c>
      <x:c r="F107" s="4" t="s">
        <x:v>24</x:v>
      </x:c>
      <x:c r="G107" s="4" t="s">
        <x:v>148</x:v>
      </x:c>
      <x:c r="H107" s="4" t="s">
        <x:v>149</x:v>
      </x:c>
      <x:c r="I107" s="9" t="s">
        <x:v>167</x:v>
      </x:c>
      <x:c r="J107" s="9" t="s">
        <x:v>25</x:v>
      </x:c>
      <x:c r="K107" s="4" t="s">
        <x:v>151</x:v>
      </x:c>
      <x:c r="L107" s="9" t="s">
        <x:v>152</x:v>
      </x:c>
      <x:c r="M107" s="4"/>
    </x:row>
    <x:row r="108" ht="39.5" customHeight="1">
      <x:c r="A108" s="4" t="s">
        <x:v>181</x:v>
      </x:c>
      <x:c r="B108" s="4" t="s">
        <x:v>7</x:v>
      </x:c>
      <x:c r="C108" s="5">
        <x:v>291.14999999999998</x:v>
      </x:c>
      <x:c r="D108" s="6">
        <x:v>5</x:v>
      </x:c>
      <x:c r="E108" s="7">
        <x:v>1.49</x:v>
      </x:c>
      <x:c r="F108" s="4" t="s">
        <x:v>24</x:v>
      </x:c>
      <x:c r="G108" s="4" t="s">
        <x:v>148</x:v>
      </x:c>
      <x:c r="H108" s="4" t="s">
        <x:v>149</x:v>
      </x:c>
      <x:c r="I108" s="9" t="s">
        <x:v>167</x:v>
      </x:c>
      <x:c r="J108" s="9" t="s">
        <x:v>25</x:v>
      </x:c>
      <x:c r="K108" s="4" t="s">
        <x:v>151</x:v>
      </x:c>
      <x:c r="L108" s="9" t="s">
        <x:v>152</x:v>
      </x:c>
      <x:c r="M108" s="4"/>
    </x:row>
    <x:row r="109" ht="39.5" customHeight="1">
      <x:c r="A109" s="4" t="s">
        <x:v>182</x:v>
      </x:c>
      <x:c r="B109" s="4" t="s">
        <x:v>7</x:v>
      </x:c>
      <x:c r="C109" s="5">
        <x:v>291.14999999999998</x:v>
      </x:c>
      <x:c r="D109" s="6">
        <x:v>6.9800000000000001E-2</x:v>
      </x:c>
      <x:c r="E109" s="7">
        <x:v>1.248</x:v>
      </x:c>
      <x:c r="F109" s="4" t="s">
        <x:v>30</x:v>
      </x:c>
      <x:c r="G109" s="4" t="s">
        <x:v>148</x:v>
      </x:c>
      <x:c r="H109" s="4" t="s">
        <x:v>149</x:v>
      </x:c>
      <x:c r="I109" s="9" t="s">
        <x:v>150</x:v>
      </x:c>
      <x:c r="J109" s="9" t="s">
        <x:v>31</x:v>
      </x:c>
      <x:c r="K109" s="4" t="s">
        <x:v>151</x:v>
      </x:c>
      <x:c r="L109" s="9" t="s">
        <x:v>152</x:v>
      </x:c>
      <x:c r="M109" s="4"/>
    </x:row>
    <x:row r="110" ht="39.5" customHeight="1">
      <x:c r="A110" s="4" t="s">
        <x:v>183</x:v>
      </x:c>
      <x:c r="B110" s="4" t="s">
        <x:v>7</x:v>
      </x:c>
      <x:c r="C110" s="5">
        <x:v>291.14999999999998</x:v>
      </x:c>
      <x:c r="D110" s="6">
        <x:v>9.9699999999999997E-2</x:v>
      </x:c>
      <x:c r="E110" s="7">
        <x:v>1.2410000000000001</x:v>
      </x:c>
      <x:c r="F110" s="4" t="s">
        <x:v>30</x:v>
      </x:c>
      <x:c r="G110" s="4" t="s">
        <x:v>148</x:v>
      </x:c>
      <x:c r="H110" s="4" t="s">
        <x:v>149</x:v>
      </x:c>
      <x:c r="I110" s="9" t="s">
        <x:v>150</x:v>
      </x:c>
      <x:c r="J110" s="9" t="s">
        <x:v>31</x:v>
      </x:c>
      <x:c r="K110" s="4" t="s">
        <x:v>151</x:v>
      </x:c>
      <x:c r="L110" s="9" t="s">
        <x:v>152</x:v>
      </x:c>
      <x:c r="M110" s="4"/>
    </x:row>
    <x:row r="111" ht="39.5" customHeight="1">
      <x:c r="A111" s="4" t="s">
        <x:v>184</x:v>
      </x:c>
      <x:c r="B111" s="4" t="s">
        <x:v>7</x:v>
      </x:c>
      <x:c r="C111" s="5">
        <x:v>291.14999999999998</x:v>
      </x:c>
      <x:c r="D111" s="6">
        <x:v>0.1986</x:v>
      </x:c>
      <x:c r="E111" s="7">
        <x:v>1.228</x:v>
      </x:c>
      <x:c r="F111" s="4" t="s">
        <x:v>30</x:v>
      </x:c>
      <x:c r="G111" s="4" t="s">
        <x:v>148</x:v>
      </x:c>
      <x:c r="H111" s="4" t="s">
        <x:v>149</x:v>
      </x:c>
      <x:c r="I111" s="9" t="s">
        <x:v>150</x:v>
      </x:c>
      <x:c r="J111" s="9" t="s">
        <x:v>31</x:v>
      </x:c>
      <x:c r="K111" s="4" t="s">
        <x:v>151</x:v>
      </x:c>
      <x:c r="L111" s="9" t="s">
        <x:v>152</x:v>
      </x:c>
      <x:c r="M111" s="4"/>
    </x:row>
    <x:row r="112" ht="39.5" customHeight="1">
      <x:c r="A112" s="4" t="s">
        <x:v>185</x:v>
      </x:c>
      <x:c r="B112" s="4" t="s">
        <x:v>7</x:v>
      </x:c>
      <x:c r="C112" s="5">
        <x:v>291.14999999999998</x:v>
      </x:c>
      <x:c r="D112" s="6">
        <x:v>0.29780000000000001</x:v>
      </x:c>
      <x:c r="E112" s="7">
        <x:v>1.224</x:v>
      </x:c>
      <x:c r="F112" s="4" t="s">
        <x:v>30</x:v>
      </x:c>
      <x:c r="G112" s="4" t="s">
        <x:v>148</x:v>
      </x:c>
      <x:c r="H112" s="4" t="s">
        <x:v>149</x:v>
      </x:c>
      <x:c r="I112" s="9" t="s">
        <x:v>150</x:v>
      </x:c>
      <x:c r="J112" s="9" t="s">
        <x:v>31</x:v>
      </x:c>
      <x:c r="K112" s="4" t="s">
        <x:v>151</x:v>
      </x:c>
      <x:c r="L112" s="9" t="s">
        <x:v>152</x:v>
      </x:c>
      <x:c r="M112" s="4"/>
    </x:row>
    <x:row r="113" ht="39.5" customHeight="1">
      <x:c r="A113" s="4" t="s">
        <x:v>186</x:v>
      </x:c>
      <x:c r="B113" s="4" t="s">
        <x:v>7</x:v>
      </x:c>
      <x:c r="C113" s="5">
        <x:v>291.14999999999998</x:v>
      </x:c>
      <x:c r="D113" s="6">
        <x:v>0.39689999999999998</x:v>
      </x:c>
      <x:c r="E113" s="7">
        <x:v>1.226</x:v>
      </x:c>
      <x:c r="F113" s="4" t="s">
        <x:v>30</x:v>
      </x:c>
      <x:c r="G113" s="4" t="s">
        <x:v>148</x:v>
      </x:c>
      <x:c r="H113" s="4" t="s">
        <x:v>149</x:v>
      </x:c>
      <x:c r="I113" s="9" t="s">
        <x:v>150</x:v>
      </x:c>
      <x:c r="J113" s="9" t="s">
        <x:v>31</x:v>
      </x:c>
      <x:c r="K113" s="4" t="s">
        <x:v>151</x:v>
      </x:c>
      <x:c r="L113" s="9" t="s">
        <x:v>152</x:v>
      </x:c>
      <x:c r="M113" s="4"/>
    </x:row>
    <x:row r="114" ht="39.5" customHeight="1">
      <x:c r="A114" s="4" t="s">
        <x:v>187</x:v>
      </x:c>
      <x:c r="B114" s="4" t="s">
        <x:v>7</x:v>
      </x:c>
      <x:c r="C114" s="5">
        <x:v>291.14999999999998</x:v>
      </x:c>
      <x:c r="D114" s="6">
        <x:v>0.59079999999999999</x:v>
      </x:c>
      <x:c r="E114" s="7">
        <x:v>1.2270000000000001</x:v>
      </x:c>
      <x:c r="F114" s="4" t="s">
        <x:v>30</x:v>
      </x:c>
      <x:c r="G114" s="4" t="s">
        <x:v>148</x:v>
      </x:c>
      <x:c r="H114" s="4" t="s">
        <x:v>149</x:v>
      </x:c>
      <x:c r="I114" s="9" t="s">
        <x:v>150</x:v>
      </x:c>
      <x:c r="J114" s="9" t="s">
        <x:v>31</x:v>
      </x:c>
      <x:c r="K114" s="4" t="s">
        <x:v>151</x:v>
      </x:c>
      <x:c r="L114" s="9" t="s">
        <x:v>152</x:v>
      </x:c>
      <x:c r="M114" s="4"/>
    </x:row>
    <x:row r="115" ht="39.5" customHeight="1">
      <x:c r="A115" s="4" t="s">
        <x:v>188</x:v>
      </x:c>
      <x:c r="B115" s="4" t="s">
        <x:v>7</x:v>
      </x:c>
      <x:c r="C115" s="5">
        <x:v>291.14999999999998</x:v>
      </x:c>
      <x:c r="D115" s="6">
        <x:v>0.78720000000000001</x:v>
      </x:c>
      <x:c r="E115" s="7">
        <x:v>1.23</x:v>
      </x:c>
      <x:c r="F115" s="4" t="s">
        <x:v>30</x:v>
      </x:c>
      <x:c r="G115" s="4" t="s">
        <x:v>148</x:v>
      </x:c>
      <x:c r="H115" s="4" t="s">
        <x:v>149</x:v>
      </x:c>
      <x:c r="I115" s="9" t="s">
        <x:v>150</x:v>
      </x:c>
      <x:c r="J115" s="9" t="s">
        <x:v>31</x:v>
      </x:c>
      <x:c r="K115" s="4" t="s">
        <x:v>151</x:v>
      </x:c>
      <x:c r="L115" s="9" t="s">
        <x:v>152</x:v>
      </x:c>
      <x:c r="M115" s="4"/>
    </x:row>
    <x:row r="116" ht="39.5" customHeight="1">
      <x:c r="A116" s="4" t="s">
        <x:v>189</x:v>
      </x:c>
      <x:c r="B116" s="4" t="s">
        <x:v>7</x:v>
      </x:c>
      <x:c r="C116" s="5">
        <x:v>291.14999999999998</x:v>
      </x:c>
      <x:c r="D116" s="6">
        <x:v>0.78749999999999998</x:v>
      </x:c>
      <x:c r="E116" s="7">
        <x:v>1.23</x:v>
      </x:c>
      <x:c r="F116" s="4" t="s">
        <x:v>30</x:v>
      </x:c>
      <x:c r="G116" s="4" t="s">
        <x:v>148</x:v>
      </x:c>
      <x:c r="H116" s="4" t="s">
        <x:v>149</x:v>
      </x:c>
      <x:c r="I116" s="9" t="s">
        <x:v>150</x:v>
      </x:c>
      <x:c r="J116" s="9" t="s">
        <x:v>31</x:v>
      </x:c>
      <x:c r="K116" s="4" t="s">
        <x:v>151</x:v>
      </x:c>
      <x:c r="L116" s="9" t="s">
        <x:v>152</x:v>
      </x:c>
      <x:c r="M116" s="4"/>
    </x:row>
    <x:row r="117" ht="39.5" customHeight="1">
      <x:c r="A117" s="4" t="s">
        <x:v>190</x:v>
      </x:c>
      <x:c r="B117" s="4" t="s">
        <x:v>7</x:v>
      </x:c>
      <x:c r="C117" s="5">
        <x:v>291.14999999999998</x:v>
      </x:c>
      <x:c r="D117" s="6">
        <x:v>0.98099999999999998</x:v>
      </x:c>
      <x:c r="E117" s="7">
        <x:v>1.232</x:v>
      </x:c>
      <x:c r="F117" s="4" t="s">
        <x:v>30</x:v>
      </x:c>
      <x:c r="G117" s="4" t="s">
        <x:v>148</x:v>
      </x:c>
      <x:c r="H117" s="4" t="s">
        <x:v>149</x:v>
      </x:c>
      <x:c r="I117" s="9" t="s">
        <x:v>150</x:v>
      </x:c>
      <x:c r="J117" s="9" t="s">
        <x:v>31</x:v>
      </x:c>
      <x:c r="K117" s="4" t="s">
        <x:v>151</x:v>
      </x:c>
      <x:c r="L117" s="9" t="s">
        <x:v>152</x:v>
      </x:c>
      <x:c r="M117" s="4"/>
    </x:row>
    <x:row r="118" ht="39.5" customHeight="1">
      <x:c r="A118" s="4" t="s">
        <x:v>191</x:v>
      </x:c>
      <x:c r="B118" s="4" t="s">
        <x:v>7</x:v>
      </x:c>
      <x:c r="C118" s="5">
        <x:v>291.14999999999998</x:v>
      </x:c>
      <x:c r="D118" s="6">
        <x:v>1.1726000000000001</x:v>
      </x:c>
      <x:c r="E118" s="7">
        <x:v>1.238</x:v>
      </x:c>
      <x:c r="F118" s="4" t="s">
        <x:v>30</x:v>
      </x:c>
      <x:c r="G118" s="4" t="s">
        <x:v>148</x:v>
      </x:c>
      <x:c r="H118" s="4" t="s">
        <x:v>149</x:v>
      </x:c>
      <x:c r="I118" s="9" t="s">
        <x:v>150</x:v>
      </x:c>
      <x:c r="J118" s="9" t="s">
        <x:v>31</x:v>
      </x:c>
      <x:c r="K118" s="4" t="s">
        <x:v>151</x:v>
      </x:c>
      <x:c r="L118" s="9" t="s">
        <x:v>152</x:v>
      </x:c>
      <x:c r="M118" s="4"/>
    </x:row>
    <x:row r="119" ht="39.5" customHeight="1">
      <x:c r="A119" s="4" t="s">
        <x:v>192</x:v>
      </x:c>
      <x:c r="B119" s="4" t="s">
        <x:v>7</x:v>
      </x:c>
      <x:c r="C119" s="5">
        <x:v>291.14999999999998</x:v>
      </x:c>
      <x:c r="D119" s="6">
        <x:v>1.4577</x:v>
      </x:c>
      <x:c r="E119" s="7">
        <x:v>1.2450000000000001</x:v>
      </x:c>
      <x:c r="F119" s="4" t="s">
        <x:v>30</x:v>
      </x:c>
      <x:c r="G119" s="4" t="s">
        <x:v>148</x:v>
      </x:c>
      <x:c r="H119" s="4" t="s">
        <x:v>149</x:v>
      </x:c>
      <x:c r="I119" s="9" t="s">
        <x:v>150</x:v>
      </x:c>
      <x:c r="J119" s="9" t="s">
        <x:v>31</x:v>
      </x:c>
      <x:c r="K119" s="4" t="s">
        <x:v>151</x:v>
      </x:c>
      <x:c r="L119" s="9" t="s">
        <x:v>152</x:v>
      </x:c>
      <x:c r="M119" s="4"/>
    </x:row>
    <x:row r="120" ht="39.5" customHeight="1">
      <x:c r="A120" s="4" t="s">
        <x:v>193</x:v>
      </x:c>
      <x:c r="B120" s="4" t="s">
        <x:v>7</x:v>
      </x:c>
      <x:c r="C120" s="5">
        <x:v>291.14999999999998</x:v>
      </x:c>
      <x:c r="D120" s="6">
        <x:v>1.9206000000000001</x:v>
      </x:c>
      <x:c r="E120" s="7">
        <x:v>1.262</x:v>
      </x:c>
      <x:c r="F120" s="4" t="s">
        <x:v>30</x:v>
      </x:c>
      <x:c r="G120" s="4" t="s">
        <x:v>148</x:v>
      </x:c>
      <x:c r="H120" s="4" t="s">
        <x:v>149</x:v>
      </x:c>
      <x:c r="I120" s="9" t="s">
        <x:v>150</x:v>
      </x:c>
      <x:c r="J120" s="9" t="s">
        <x:v>31</x:v>
      </x:c>
      <x:c r="K120" s="4" t="s">
        <x:v>151</x:v>
      </x:c>
      <x:c r="L120" s="9" t="s">
        <x:v>152</x:v>
      </x:c>
      <x:c r="M120" s="4"/>
    </x:row>
    <x:row r="121" ht="39.5" customHeight="1">
      <x:c r="A121" s="4" t="s">
        <x:v>194</x:v>
      </x:c>
      <x:c r="B121" s="4" t="s">
        <x:v>7</x:v>
      </x:c>
      <x:c r="C121" s="5">
        <x:v>291.14999999999998</x:v>
      </x:c>
      <x:c r="D121" s="6">
        <x:v>2.3822000000000001</x:v>
      </x:c>
      <x:c r="E121" s="7">
        <x:v>1.276</x:v>
      </x:c>
      <x:c r="F121" s="4" t="s">
        <x:v>30</x:v>
      </x:c>
      <x:c r="G121" s="4" t="s">
        <x:v>148</x:v>
      </x:c>
      <x:c r="H121" s="4" t="s">
        <x:v>149</x:v>
      </x:c>
      <x:c r="I121" s="9" t="s">
        <x:v>150</x:v>
      </x:c>
      <x:c r="J121" s="9" t="s">
        <x:v>31</x:v>
      </x:c>
      <x:c r="K121" s="4" t="s">
        <x:v>151</x:v>
      </x:c>
      <x:c r="L121" s="9" t="s">
        <x:v>152</x:v>
      </x:c>
      <x:c r="M121" s="4"/>
    </x:row>
    <x:row r="122" ht="39.5" customHeight="1">
      <x:c r="A122" s="4" t="s">
        <x:v>195</x:v>
      </x:c>
      <x:c r="B122" s="4" t="s">
        <x:v>7</x:v>
      </x:c>
      <x:c r="C122" s="5">
        <x:v>291.14999999999998</x:v>
      </x:c>
      <x:c r="D122" s="6">
        <x:v>2.8298999999999999</x:v>
      </x:c>
      <x:c r="E122" s="7">
        <x:v>1.2909999999999999</x:v>
      </x:c>
      <x:c r="F122" s="4" t="s">
        <x:v>30</x:v>
      </x:c>
      <x:c r="G122" s="4" t="s">
        <x:v>148</x:v>
      </x:c>
      <x:c r="H122" s="4" t="s">
        <x:v>149</x:v>
      </x:c>
      <x:c r="I122" s="9" t="s">
        <x:v>150</x:v>
      </x:c>
      <x:c r="J122" s="9" t="s">
        <x:v>31</x:v>
      </x:c>
      <x:c r="K122" s="4" t="s">
        <x:v>151</x:v>
      </x:c>
      <x:c r="L122" s="9" t="s">
        <x:v>152</x:v>
      </x:c>
      <x:c r="M122" s="4"/>
    </x:row>
    <x:row r="123" ht="39.5" customHeight="1">
      <x:c r="A123" s="4" t="s">
        <x:v>196</x:v>
      </x:c>
      <x:c r="B123" s="4" t="s">
        <x:v>7</x:v>
      </x:c>
      <x:c r="C123" s="5">
        <x:v>291.14999999999998</x:v>
      </x:c>
      <x:c r="D123" s="6">
        <x:v>3.2664</x:v>
      </x:c>
      <x:c r="E123" s="7">
        <x:v>1.3045</x:v>
      </x:c>
      <x:c r="F123" s="4" t="s">
        <x:v>30</x:v>
      </x:c>
      <x:c r="G123" s="4" t="s">
        <x:v>148</x:v>
      </x:c>
      <x:c r="H123" s="4" t="s">
        <x:v>149</x:v>
      </x:c>
      <x:c r="I123" s="9" t="s">
        <x:v>150</x:v>
      </x:c>
      <x:c r="J123" s="9" t="s">
        <x:v>31</x:v>
      </x:c>
      <x:c r="K123" s="4" t="s">
        <x:v>151</x:v>
      </x:c>
      <x:c r="L123" s="9" t="s">
        <x:v>152</x:v>
      </x:c>
      <x:c r="M123" s="4"/>
    </x:row>
    <x:row r="124" ht="39.5" customHeight="1">
      <x:c r="A124" s="4" t="s">
        <x:v>197</x:v>
      </x:c>
      <x:c r="B124" s="4" t="s">
        <x:v>7</x:v>
      </x:c>
      <x:c r="C124" s="5">
        <x:v>291.14999999999998</x:v>
      </x:c>
      <x:c r="D124" s="6">
        <x:v>3.6974999999999998</x:v>
      </x:c>
      <x:c r="E124" s="7">
        <x:v>1.3180000000000001</x:v>
      </x:c>
      <x:c r="F124" s="4" t="s">
        <x:v>30</x:v>
      </x:c>
      <x:c r="G124" s="4" t="s">
        <x:v>148</x:v>
      </x:c>
      <x:c r="H124" s="4" t="s">
        <x:v>149</x:v>
      </x:c>
      <x:c r="I124" s="9" t="s">
        <x:v>150</x:v>
      </x:c>
      <x:c r="J124" s="9" t="s">
        <x:v>31</x:v>
      </x:c>
      <x:c r="K124" s="4" t="s">
        <x:v>151</x:v>
      </x:c>
      <x:c r="L124" s="9" t="s">
        <x:v>152</x:v>
      </x:c>
      <x:c r="M124" s="4"/>
    </x:row>
    <x:row r="125" ht="39.5" customHeight="1">
      <x:c r="A125" s="4" t="s">
        <x:v>198</x:v>
      </x:c>
      <x:c r="B125" s="4" t="s">
        <x:v>7</x:v>
      </x:c>
      <x:c r="C125" s="5">
        <x:v>291.14999999999998</x:v>
      </x:c>
      <x:c r="D125" s="6">
        <x:v>4.1158999999999999</x:v>
      </x:c>
      <x:c r="E125" s="7">
        <x:v>1.325</x:v>
      </x:c>
      <x:c r="F125" s="4" t="s">
        <x:v>30</x:v>
      </x:c>
      <x:c r="G125" s="4" t="s">
        <x:v>148</x:v>
      </x:c>
      <x:c r="H125" s="4" t="s">
        <x:v>149</x:v>
      </x:c>
      <x:c r="I125" s="9" t="s">
        <x:v>150</x:v>
      </x:c>
      <x:c r="J125" s="9" t="s">
        <x:v>31</x:v>
      </x:c>
      <x:c r="K125" s="4" t="s">
        <x:v>151</x:v>
      </x:c>
      <x:c r="L125" s="9" t="s">
        <x:v>152</x:v>
      </x:c>
      <x:c r="M125" s="4"/>
    </x:row>
    <x:row r="126" ht="39.5" customHeight="1">
      <x:c r="A126" s="4" t="s">
        <x:v>199</x:v>
      </x:c>
      <x:c r="B126" s="4" t="s">
        <x:v>7</x:v>
      </x:c>
      <x:c r="C126" s="5">
        <x:v>291.14999999999998</x:v>
      </x:c>
      <x:c r="D126" s="6">
        <x:v>4.1163999999999996</x:v>
      </x:c>
      <x:c r="E126" s="7">
        <x:v>1.327</x:v>
      </x:c>
      <x:c r="F126" s="4" t="s">
        <x:v>30</x:v>
      </x:c>
      <x:c r="G126" s="4" t="s">
        <x:v>148</x:v>
      </x:c>
      <x:c r="H126" s="4" t="s">
        <x:v>149</x:v>
      </x:c>
      <x:c r="I126" s="9" t="s">
        <x:v>150</x:v>
      </x:c>
      <x:c r="J126" s="9" t="s">
        <x:v>31</x:v>
      </x:c>
      <x:c r="K126" s="4" t="s">
        <x:v>151</x:v>
      </x:c>
      <x:c r="L126" s="9" t="s">
        <x:v>152</x:v>
      </x:c>
      <x:c r="M126" s="4"/>
    </x:row>
    <x:row r="127" ht="39.5" customHeight="1">
      <x:c r="A127" s="4" t="s">
        <x:v>200</x:v>
      </x:c>
      <x:c r="B127" s="4" t="s">
        <x:v>7</x:v>
      </x:c>
      <x:c r="C127" s="5">
        <x:v>291.14999999999998</x:v>
      </x:c>
      <x:c r="D127" s="6">
        <x:v>4.6435000000000004</x:v>
      </x:c>
      <x:c r="E127" s="7">
        <x:v>1.33</x:v>
      </x:c>
      <x:c r="F127" s="4" t="s">
        <x:v>30</x:v>
      </x:c>
      <x:c r="G127" s="4" t="s">
        <x:v>148</x:v>
      </x:c>
      <x:c r="H127" s="4" t="s">
        <x:v>149</x:v>
      </x:c>
      <x:c r="I127" s="9" t="s">
        <x:v>150</x:v>
      </x:c>
      <x:c r="J127" s="9" t="s">
        <x:v>31</x:v>
      </x:c>
      <x:c r="K127" s="4" t="s">
        <x:v>151</x:v>
      </x:c>
      <x:c r="L127" s="9" t="s">
        <x:v>152</x:v>
      </x:c>
      <x:c r="M127" s="4"/>
    </x:row>
    <x:row r="128" ht="39.5" customHeight="1">
      <x:c r="A128" s="4" t="s">
        <x:v>201</x:v>
      </x:c>
      <x:c r="B128" s="4" t="s">
        <x:v>7</x:v>
      </x:c>
      <x:c r="C128" s="5">
        <x:v>291.14999999999998</x:v>
      </x:c>
      <x:c r="D128" s="6">
        <x:v>4.9584999999999999</x:v>
      </x:c>
      <x:c r="E128" s="7">
        <x:v>1.325</x:v>
      </x:c>
      <x:c r="F128" s="4" t="s">
        <x:v>30</x:v>
      </x:c>
      <x:c r="G128" s="4" t="s">
        <x:v>148</x:v>
      </x:c>
      <x:c r="H128" s="4" t="s">
        <x:v>149</x:v>
      </x:c>
      <x:c r="I128" s="9" t="s">
        <x:v>150</x:v>
      </x:c>
      <x:c r="J128" s="9" t="s">
        <x:v>31</x:v>
      </x:c>
      <x:c r="K128" s="4" t="s">
        <x:v>151</x:v>
      </x:c>
      <x:c r="L128" s="9" t="s">
        <x:v>152</x:v>
      </x:c>
      <x:c r="M128" s="4"/>
    </x:row>
    <x:row r="129" ht="39.5" customHeight="1">
      <x:c r="A129" s="4" t="s">
        <x:v>202</x:v>
      </x:c>
      <x:c r="B129" s="4" t="s">
        <x:v>7</x:v>
      </x:c>
      <x:c r="C129" s="5">
        <x:v>298.14999999999998</x:v>
      </x:c>
      <x:c r="D129" s="6">
        <x:v>0.1</x:v>
      </x:c>
      <x:c r="E129" s="7">
        <x:v>1.3460000000000001</x:v>
      </x:c>
      <x:c r="F129" s="4" t="s">
        <x:v>28</x:v>
      </x:c>
      <x:c r="G129" s="4" t="s">
        <x:v>148</x:v>
      </x:c>
      <x:c r="H129" s="4" t="s">
        <x:v>149</x:v>
      </x:c>
      <x:c r="I129" s="9" t="s">
        <x:v>203</x:v>
      </x:c>
      <x:c r="J129" s="9" t="s">
        <x:v>29</x:v>
      </x:c>
      <x:c r="K129" s="4" t="s">
        <x:v>151</x:v>
      </x:c>
      <x:c r="L129" s="9" t="s">
        <x:v>152</x:v>
      </x:c>
      <x:c r="M129" s="4"/>
    </x:row>
    <x:row r="130" ht="39.5" customHeight="1">
      <x:c r="A130" s="4" t="s">
        <x:v>204</x:v>
      </x:c>
      <x:c r="B130" s="4" t="s">
        <x:v>7</x:v>
      </x:c>
      <x:c r="C130" s="5">
        <x:v>298.14999999999998</x:v>
      </x:c>
      <x:c r="D130" s="6">
        <x:v>0.5</x:v>
      </x:c>
      <x:c r="E130" s="7">
        <x:v>1.3120000000000001</x:v>
      </x:c>
      <x:c r="F130" s="4" t="s">
        <x:v>28</x:v>
      </x:c>
      <x:c r="G130" s="4" t="s">
        <x:v>148</x:v>
      </x:c>
      <x:c r="H130" s="4" t="s">
        <x:v>149</x:v>
      </x:c>
      <x:c r="I130" s="9" t="s">
        <x:v>203</x:v>
      </x:c>
      <x:c r="J130" s="9" t="s">
        <x:v>29</x:v>
      </x:c>
      <x:c r="K130" s="4" t="s">
        <x:v>151</x:v>
      </x:c>
      <x:c r="L130" s="9" t="s">
        <x:v>152</x:v>
      </x:c>
      <x:c r="M130" s="4"/>
    </x:row>
    <x:row r="131" ht="39.5" customHeight="1">
      <x:c r="A131" s="4" t="s">
        <x:v>205</x:v>
      </x:c>
      <x:c r="B131" s="4" t="s">
        <x:v>7</x:v>
      </x:c>
      <x:c r="C131" s="5">
        <x:v>298.14999999999998</x:v>
      </x:c>
      <x:c r="D131" s="6">
        <x:v>1</x:v>
      </x:c>
      <x:c r="E131" s="7">
        <x:v>1.3220000000000001</x:v>
      </x:c>
      <x:c r="F131" s="4" t="s">
        <x:v>28</x:v>
      </x:c>
      <x:c r="G131" s="4" t="s">
        <x:v>148</x:v>
      </x:c>
      <x:c r="H131" s="4" t="s">
        <x:v>149</x:v>
      </x:c>
      <x:c r="I131" s="9" t="s">
        <x:v>203</x:v>
      </x:c>
      <x:c r="J131" s="9" t="s">
        <x:v>29</x:v>
      </x:c>
      <x:c r="K131" s="4" t="s">
        <x:v>151</x:v>
      </x:c>
      <x:c r="L131" s="9" t="s">
        <x:v>152</x:v>
      </x:c>
      <x:c r="M131" s="4"/>
    </x:row>
    <x:row r="132" ht="39.5" customHeight="1">
      <x:c r="A132" s="4" t="s">
        <x:v>206</x:v>
      </x:c>
      <x:c r="B132" s="4" t="s">
        <x:v>7</x:v>
      </x:c>
      <x:c r="C132" s="5">
        <x:v>298.14999999999998</x:v>
      </x:c>
      <x:c r="D132" s="6">
        <x:v>0.05</x:v>
      </x:c>
      <x:c r="E132" s="7">
        <x:v>1.506</x:v>
      </x:c>
      <x:c r="F132" s="4" t="s">
        <x:v>26</x:v>
      </x:c>
      <x:c r="G132" s="4" t="s">
        <x:v>148</x:v>
      </x:c>
      <x:c r="H132" s="4" t="s">
        <x:v>149</x:v>
      </x:c>
      <x:c r="I132" s="9" t="s">
        <x:v>207</x:v>
      </x:c>
      <x:c r="J132" s="9" t="s">
        <x:v>27</x:v>
      </x:c>
      <x:c r="K132" s="4" t="s">
        <x:v>151</x:v>
      </x:c>
      <x:c r="L132" s="9" t="s">
        <x:v>152</x:v>
      </x:c>
      <x:c r="M132" s="4"/>
    </x:row>
    <x:row r="133" ht="39.5" customHeight="1">
      <x:c r="A133" s="4" t="s">
        <x:v>208</x:v>
      </x:c>
      <x:c r="B133" s="4" t="s">
        <x:v>7</x:v>
      </x:c>
      <x:c r="C133" s="5">
        <x:v>298.14999999999998</x:v>
      </x:c>
      <x:c r="D133" s="6">
        <x:v>0.1</x:v>
      </x:c>
      <x:c r="E133" s="7">
        <x:v>1.484</x:v>
      </x:c>
      <x:c r="F133" s="4" t="s">
        <x:v>26</x:v>
      </x:c>
      <x:c r="G133" s="4" t="s">
        <x:v>148</x:v>
      </x:c>
      <x:c r="H133" s="4" t="s">
        <x:v>149</x:v>
      </x:c>
      <x:c r="I133" s="9" t="s">
        <x:v>207</x:v>
      </x:c>
      <x:c r="J133" s="9" t="s">
        <x:v>27</x:v>
      </x:c>
      <x:c r="K133" s="4" t="s">
        <x:v>151</x:v>
      </x:c>
      <x:c r="L133" s="9" t="s">
        <x:v>152</x:v>
      </x:c>
      <x:c r="M133" s="4" t="s">
        <x:v>209</x:v>
      </x:c>
    </x:row>
    <x:row r="134" ht="39.5" customHeight="1">
      <x:c r="A134" s="4" t="s">
        <x:v>210</x:v>
      </x:c>
      <x:c r="B134" s="4" t="s">
        <x:v>7</x:v>
      </x:c>
      <x:c r="C134" s="5">
        <x:v>298.14999999999998</x:v>
      </x:c>
      <x:c r="D134" s="6">
        <x:v>0.2</x:v>
      </x:c>
      <x:c r="E134" s="7">
        <x:v>1.478</x:v>
      </x:c>
      <x:c r="F134" s="4" t="s">
        <x:v>26</x:v>
      </x:c>
      <x:c r="G134" s="4" t="s">
        <x:v>148</x:v>
      </x:c>
      <x:c r="H134" s="4" t="s">
        <x:v>149</x:v>
      </x:c>
      <x:c r="I134" s="9" t="s">
        <x:v>207</x:v>
      </x:c>
      <x:c r="J134" s="9" t="s">
        <x:v>27</x:v>
      </x:c>
      <x:c r="K134" s="4" t="s">
        <x:v>151</x:v>
      </x:c>
      <x:c r="L134" s="9" t="s">
        <x:v>152</x:v>
      </x:c>
      <x:c r="M134" s="4"/>
    </x:row>
    <x:row r="135" ht="39.5" customHeight="1">
      <x:c r="A135" s="4" t="s">
        <x:v>211</x:v>
      </x:c>
      <x:c r="B135" s="4" t="s">
        <x:v>7</x:v>
      </x:c>
      <x:c r="C135" s="5">
        <x:v>298.14999999999998</x:v>
      </x:c>
      <x:c r="D135" s="6">
        <x:v>0.3</x:v>
      </x:c>
      <x:c r="E135" s="7">
        <x:v>1.4770000000000001</x:v>
      </x:c>
      <x:c r="F135" s="4" t="s">
        <x:v>26</x:v>
      </x:c>
      <x:c r="G135" s="4" t="s">
        <x:v>148</x:v>
      </x:c>
      <x:c r="H135" s="4" t="s">
        <x:v>149</x:v>
      </x:c>
      <x:c r="I135" s="9" t="s">
        <x:v>207</x:v>
      </x:c>
      <x:c r="J135" s="9" t="s">
        <x:v>27</x:v>
      </x:c>
      <x:c r="K135" s="4" t="s">
        <x:v>151</x:v>
      </x:c>
      <x:c r="L135" s="9" t="s">
        <x:v>152</x:v>
      </x:c>
      <x:c r="M135" s="4"/>
    </x:row>
    <x:row r="136" ht="39.5" customHeight="1">
      <x:c r="A136" s="4" t="s">
        <x:v>212</x:v>
      </x:c>
      <x:c r="B136" s="4" t="s">
        <x:v>7</x:v>
      </x:c>
      <x:c r="C136" s="5">
        <x:v>298.14999999999998</x:v>
      </x:c>
      <x:c r="D136" s="6">
        <x:v>0.5</x:v>
      </x:c>
      <x:c r="E136" s="7">
        <x:v>1.474</x:v>
      </x:c>
      <x:c r="F136" s="4" t="s">
        <x:v>26</x:v>
      </x:c>
      <x:c r="G136" s="4" t="s">
        <x:v>148</x:v>
      </x:c>
      <x:c r="H136" s="4" t="s">
        <x:v>149</x:v>
      </x:c>
      <x:c r="I136" s="9" t="s">
        <x:v>207</x:v>
      </x:c>
      <x:c r="J136" s="9" t="s">
        <x:v>27</x:v>
      </x:c>
      <x:c r="K136" s="4" t="s">
        <x:v>151</x:v>
      </x:c>
      <x:c r="L136" s="9" t="s">
        <x:v>152</x:v>
      </x:c>
      <x:c r="M136" s="4" t="s">
        <x:v>213</x:v>
      </x:c>
    </x:row>
    <x:row r="137" ht="39.5" customHeight="1">
      <x:c r="A137" s="4" t="s">
        <x:v>214</x:v>
      </x:c>
      <x:c r="B137" s="4" t="s">
        <x:v>7</x:v>
      </x:c>
      <x:c r="C137" s="5">
        <x:v>298.14999999999998</x:v>
      </x:c>
      <x:c r="D137" s="6">
        <x:v>0.7</x:v>
      </x:c>
      <x:c r="E137" s="7">
        <x:v>1.4750000000000001</x:v>
      </x:c>
      <x:c r="F137" s="4" t="s">
        <x:v>26</x:v>
      </x:c>
      <x:c r="G137" s="4" t="s">
        <x:v>148</x:v>
      </x:c>
      <x:c r="H137" s="4" t="s">
        <x:v>149</x:v>
      </x:c>
      <x:c r="I137" s="9" t="s">
        <x:v>207</x:v>
      </x:c>
      <x:c r="J137" s="9" t="s">
        <x:v>27</x:v>
      </x:c>
      <x:c r="K137" s="4" t="s">
        <x:v>151</x:v>
      </x:c>
      <x:c r="L137" s="9" t="s">
        <x:v>152</x:v>
      </x:c>
      <x:c r="M137" s="4" t="s">
        <x:v>215</x:v>
      </x:c>
    </x:row>
    <x:row r="138" ht="39.5" customHeight="1">
      <x:c r="A138" s="4" t="s">
        <x:v>216</x:v>
      </x:c>
      <x:c r="B138" s="4" t="s">
        <x:v>7</x:v>
      </x:c>
      <x:c r="C138" s="5">
        <x:v>298.14999999999998</x:v>
      </x:c>
      <x:c r="D138" s="6">
        <x:v>1</x:v>
      </x:c>
      <x:c r="E138" s="7">
        <x:v>1.4830000000000001</x:v>
      </x:c>
      <x:c r="F138" s="4" t="s">
        <x:v>26</x:v>
      </x:c>
      <x:c r="G138" s="4" t="s">
        <x:v>148</x:v>
      </x:c>
      <x:c r="H138" s="4" t="s">
        <x:v>149</x:v>
      </x:c>
      <x:c r="I138" s="9" t="s">
        <x:v>207</x:v>
      </x:c>
      <x:c r="J138" s="9" t="s">
        <x:v>27</x:v>
      </x:c>
      <x:c r="K138" s="4" t="s">
        <x:v>151</x:v>
      </x:c>
      <x:c r="L138" s="9" t="s">
        <x:v>152</x:v>
      </x:c>
      <x:c r="M138" s="4" t="s">
        <x:v>217</x:v>
      </x:c>
    </x:row>
    <x:row r="139" ht="39.5" customHeight="1">
      <x:c r="A139" s="4" t="s">
        <x:v>218</x:v>
      </x:c>
      <x:c r="B139" s="4" t="s">
        <x:v>7</x:v>
      </x:c>
      <x:c r="C139" s="5">
        <x:v>298.14999999999998</x:v>
      </x:c>
      <x:c r="D139" s="6">
        <x:v>1.5</x:v>
      </x:c>
      <x:c r="E139" s="7">
        <x:v>1.4950000000000001</x:v>
      </x:c>
      <x:c r="F139" s="4" t="s">
        <x:v>26</x:v>
      </x:c>
      <x:c r="G139" s="4" t="s">
        <x:v>148</x:v>
      </x:c>
      <x:c r="H139" s="4" t="s">
        <x:v>149</x:v>
      </x:c>
      <x:c r="I139" s="9" t="s">
        <x:v>207</x:v>
      </x:c>
      <x:c r="J139" s="9" t="s">
        <x:v>27</x:v>
      </x:c>
      <x:c r="K139" s="4" t="s">
        <x:v>151</x:v>
      </x:c>
      <x:c r="L139" s="9" t="s">
        <x:v>152</x:v>
      </x:c>
      <x:c r="M139" s="4"/>
    </x:row>
    <x:row r="140" ht="39.5" customHeight="1">
      <x:c r="A140" s="4" t="s">
        <x:v>219</x:v>
      </x:c>
      <x:c r="B140" s="4" t="s">
        <x:v>7</x:v>
      </x:c>
      <x:c r="C140" s="5">
        <x:v>298.14999999999998</x:v>
      </x:c>
      <x:c r="D140" s="6">
        <x:v>2</x:v>
      </x:c>
      <x:c r="E140" s="7">
        <x:v>1.514</x:v>
      </x:c>
      <x:c r="F140" s="4" t="s">
        <x:v>26</x:v>
      </x:c>
      <x:c r="G140" s="4" t="s">
        <x:v>148</x:v>
      </x:c>
      <x:c r="H140" s="4" t="s">
        <x:v>149</x:v>
      </x:c>
      <x:c r="I140" s="9" t="s">
        <x:v>207</x:v>
      </x:c>
      <x:c r="J140" s="9" t="s">
        <x:v>27</x:v>
      </x:c>
      <x:c r="K140" s="4" t="s">
        <x:v>151</x:v>
      </x:c>
      <x:c r="L140" s="9" t="s">
        <x:v>152</x:v>
      </x:c>
      <x:c r="M140" s="4" t="s">
        <x:v>220</x:v>
      </x:c>
    </x:row>
    <x:row r="141" ht="39.5" customHeight="1">
      <x:c r="A141" s="4" t="s">
        <x:v>221</x:v>
      </x:c>
      <x:c r="B141" s="4" t="s">
        <x:v>7</x:v>
      </x:c>
      <x:c r="C141" s="5">
        <x:v>298.14999999999998</x:v>
      </x:c>
      <x:c r="D141" s="6">
        <x:v>2.5</x:v>
      </x:c>
      <x:c r="E141" s="7">
        <x:v>1.5289999999999999</x:v>
      </x:c>
      <x:c r="F141" s="4" t="s">
        <x:v>26</x:v>
      </x:c>
      <x:c r="G141" s="4" t="s">
        <x:v>148</x:v>
      </x:c>
      <x:c r="H141" s="4" t="s">
        <x:v>149</x:v>
      </x:c>
      <x:c r="I141" s="9" t="s">
        <x:v>207</x:v>
      </x:c>
      <x:c r="J141" s="9" t="s">
        <x:v>27</x:v>
      </x:c>
      <x:c r="K141" s="4" t="s">
        <x:v>151</x:v>
      </x:c>
      <x:c r="L141" s="9" t="s">
        <x:v>152</x:v>
      </x:c>
      <x:c r="M141" s="4"/>
    </x:row>
    <x:row r="142" ht="39.5" customHeight="1">
      <x:c r="A142" s="4" t="s">
        <x:v>222</x:v>
      </x:c>
      <x:c r="B142" s="4" t="s">
        <x:v>7</x:v>
      </x:c>
      <x:c r="C142" s="5">
        <x:v>298.14999999999998</x:v>
      </x:c>
      <x:c r="D142" s="6">
        <x:v>3</x:v>
      </x:c>
      <x:c r="E142" s="7">
        <x:v>1.544</x:v>
      </x:c>
      <x:c r="F142" s="4" t="s">
        <x:v>26</x:v>
      </x:c>
      <x:c r="G142" s="4" t="s">
        <x:v>148</x:v>
      </x:c>
      <x:c r="H142" s="4" t="s">
        <x:v>149</x:v>
      </x:c>
      <x:c r="I142" s="9" t="s">
        <x:v>207</x:v>
      </x:c>
      <x:c r="J142" s="9" t="s">
        <x:v>27</x:v>
      </x:c>
      <x:c r="K142" s="4" t="s">
        <x:v>151</x:v>
      </x:c>
      <x:c r="L142" s="9" t="s">
        <x:v>152</x:v>
      </x:c>
      <x:c r="M142" s="4" t="s">
        <x:v>223</x:v>
      </x:c>
    </x:row>
    <x:row r="143" ht="39.5" customHeight="1">
      <x:c r="A143" s="4" t="s">
        <x:v>224</x:v>
      </x:c>
      <x:c r="B143" s="4" t="s">
        <x:v>7</x:v>
      </x:c>
      <x:c r="C143" s="5">
        <x:v>298.14999999999998</x:v>
      </x:c>
      <x:c r="D143" s="6">
        <x:v>3.5</x:v>
      </x:c>
      <x:c r="E143" s="7">
        <x:v>1.5589999999999999</x:v>
      </x:c>
      <x:c r="F143" s="4" t="s">
        <x:v>26</x:v>
      </x:c>
      <x:c r="G143" s="4" t="s">
        <x:v>148</x:v>
      </x:c>
      <x:c r="H143" s="4" t="s">
        <x:v>149</x:v>
      </x:c>
      <x:c r="I143" s="9" t="s">
        <x:v>207</x:v>
      </x:c>
      <x:c r="J143" s="9" t="s">
        <x:v>27</x:v>
      </x:c>
      <x:c r="K143" s="4" t="s">
        <x:v>151</x:v>
      </x:c>
      <x:c r="L143" s="9" t="s">
        <x:v>152</x:v>
      </x:c>
      <x:c r="M143" s="4"/>
    </x:row>
    <x:row r="144" ht="39.5" customHeight="1">
      <x:c r="A144" s="4" t="s">
        <x:v>225</x:v>
      </x:c>
      <x:c r="B144" s="4" t="s">
        <x:v>7</x:v>
      </x:c>
      <x:c r="C144" s="5">
        <x:v>298.14999999999998</x:v>
      </x:c>
      <x:c r="D144" s="6">
        <x:v>4</x:v>
      </x:c>
      <x:c r="E144" s="7">
        <x:v>1.5840000000000001</x:v>
      </x:c>
      <x:c r="F144" s="4" t="s">
        <x:v>26</x:v>
      </x:c>
      <x:c r="G144" s="4" t="s">
        <x:v>148</x:v>
      </x:c>
      <x:c r="H144" s="4" t="s">
        <x:v>149</x:v>
      </x:c>
      <x:c r="I144" s="9" t="s">
        <x:v>207</x:v>
      </x:c>
      <x:c r="J144" s="9" t="s">
        <x:v>27</x:v>
      </x:c>
      <x:c r="K144" s="4" t="s">
        <x:v>151</x:v>
      </x:c>
      <x:c r="L144" s="9" t="s">
        <x:v>152</x:v>
      </x:c>
      <x:c r="M144" s="4" t="s">
        <x:v>226</x:v>
      </x:c>
    </x:row>
    <x:row r="145" ht="39.5" customHeight="1">
      <x:c r="A145" s="4" t="s">
        <x:v>227</x:v>
      </x:c>
      <x:c r="B145" s="4" t="s">
        <x:v>7</x:v>
      </x:c>
      <x:c r="C145" s="5">
        <x:v>298.14999999999998</x:v>
      </x:c>
      <x:c r="D145" s="6">
        <x:v>6.9999999999999999E-4</x:v>
      </x:c>
      <x:c r="E145" s="7">
        <x:v>1.5860000000000001</x:v>
      </x:c>
      <x:c r="F145" s="4" t="s">
        <x:v>16</x:v>
      </x:c>
      <x:c r="G145" s="4" t="s">
        <x:v>148</x:v>
      </x:c>
      <x:c r="H145" s="4" t="s">
        <x:v>149</x:v>
      </x:c>
      <x:c r="I145" s="9" t="s">
        <x:v>228</x:v>
      </x:c>
      <x:c r="J145" s="9" t="s">
        <x:v>17</x:v>
      </x:c>
      <x:c r="K145" s="4" t="s">
        <x:v>151</x:v>
      </x:c>
      <x:c r="L145" s="9" t="s">
        <x:v>152</x:v>
      </x:c>
      <x:c r="M145" s="4"/>
    </x:row>
    <x:row r="146" ht="39.5" customHeight="1">
      <x:c r="A146" s="4" t="s">
        <x:v>229</x:v>
      </x:c>
      <x:c r="B146" s="4" t="s">
        <x:v>7</x:v>
      </x:c>
      <x:c r="C146" s="5">
        <x:v>298.14999999999998</x:v>
      </x:c>
      <x:c r="D146" s="6">
        <x:v>1.6000000000000001E-3</x:v>
      </x:c>
      <x:c r="E146" s="7">
        <x:v>1.5760000000000001</x:v>
      </x:c>
      <x:c r="F146" s="4" t="s">
        <x:v>16</x:v>
      </x:c>
      <x:c r="G146" s="4" t="s">
        <x:v>148</x:v>
      </x:c>
      <x:c r="H146" s="4" t="s">
        <x:v>149</x:v>
      </x:c>
      <x:c r="I146" s="9" t="s">
        <x:v>228</x:v>
      </x:c>
      <x:c r="J146" s="9" t="s">
        <x:v>17</x:v>
      </x:c>
      <x:c r="K146" s="4" t="s">
        <x:v>151</x:v>
      </x:c>
      <x:c r="L146" s="9" t="s">
        <x:v>152</x:v>
      </x:c>
      <x:c r="M146" s="4"/>
    </x:row>
    <x:row r="147" ht="39.5" customHeight="1">
      <x:c r="A147" s="4" t="s">
        <x:v>230</x:v>
      </x:c>
      <x:c r="B147" s="4" t="s">
        <x:v>7</x:v>
      </x:c>
      <x:c r="C147" s="5">
        <x:v>298.14999999999998</x:v>
      </x:c>
      <x:c r="D147" s="6">
        <x:v>3.3E-3</x:v>
      </x:c>
      <x:c r="E147" s="7">
        <x:v>1.5760000000000001</x:v>
      </x:c>
      <x:c r="F147" s="4" t="s">
        <x:v>16</x:v>
      </x:c>
      <x:c r="G147" s="4" t="s">
        <x:v>148</x:v>
      </x:c>
      <x:c r="H147" s="4" t="s">
        <x:v>149</x:v>
      </x:c>
      <x:c r="I147" s="9" t="s">
        <x:v>228</x:v>
      </x:c>
      <x:c r="J147" s="9" t="s">
        <x:v>17</x:v>
      </x:c>
      <x:c r="K147" s="4" t="s">
        <x:v>151</x:v>
      </x:c>
      <x:c r="L147" s="9" t="s">
        <x:v>152</x:v>
      </x:c>
      <x:c r="M147" s="4"/>
    </x:row>
    <x:row r="148" ht="39.5" customHeight="1">
      <x:c r="A148" s="4" t="s">
        <x:v>231</x:v>
      </x:c>
      <x:c r="B148" s="4" t="s">
        <x:v>7</x:v>
      </x:c>
      <x:c r="C148" s="5">
        <x:v>298.14999999999998</x:v>
      </x:c>
      <x:c r="D148" s="6">
        <x:v>4.4999999999999997E-3</x:v>
      </x:c>
      <x:c r="E148" s="7">
        <x:v>1.5620000000000001</x:v>
      </x:c>
      <x:c r="F148" s="4" t="s">
        <x:v>16</x:v>
      </x:c>
      <x:c r="G148" s="4" t="s">
        <x:v>148</x:v>
      </x:c>
      <x:c r="H148" s="4" t="s">
        <x:v>149</x:v>
      </x:c>
      <x:c r="I148" s="9" t="s">
        <x:v>228</x:v>
      </x:c>
      <x:c r="J148" s="9" t="s">
        <x:v>17</x:v>
      </x:c>
      <x:c r="K148" s="4" t="s">
        <x:v>151</x:v>
      </x:c>
      <x:c r="L148" s="9" t="s">
        <x:v>152</x:v>
      </x:c>
      <x:c r="M148" s="4"/>
    </x:row>
    <x:row r="149" ht="39.5" customHeight="1">
      <x:c r="A149" s="4" t="s">
        <x:v>232</x:v>
      </x:c>
      <x:c r="B149" s="4" t="s">
        <x:v>7</x:v>
      </x:c>
      <x:c r="C149" s="5">
        <x:v>298.14999999999998</x:v>
      </x:c>
      <x:c r="D149" s="6">
        <x:v>5.1999999999999998E-3</x:v>
      </x:c>
      <x:c r="E149" s="7">
        <x:v>1.5589999999999999</x:v>
      </x:c>
      <x:c r="F149" s="4" t="s">
        <x:v>16</x:v>
      </x:c>
      <x:c r="G149" s="4" t="s">
        <x:v>148</x:v>
      </x:c>
      <x:c r="H149" s="4" t="s">
        <x:v>149</x:v>
      </x:c>
      <x:c r="I149" s="9" t="s">
        <x:v>228</x:v>
      </x:c>
      <x:c r="J149" s="9" t="s">
        <x:v>17</x:v>
      </x:c>
      <x:c r="K149" s="4" t="s">
        <x:v>151</x:v>
      </x:c>
      <x:c r="L149" s="9" t="s">
        <x:v>152</x:v>
      </x:c>
      <x:c r="M149" s="4"/>
    </x:row>
    <x:row r="150" ht="39.5" customHeight="1">
      <x:c r="A150" s="4" t="s">
        <x:v>233</x:v>
      </x:c>
      <x:c r="B150" s="4" t="s">
        <x:v>7</x:v>
      </x:c>
      <x:c r="C150" s="5">
        <x:v>298.14999999999998</x:v>
      </x:c>
      <x:c r="D150" s="6">
        <x:v>6.4999999999999997E-3</x:v>
      </x:c>
      <x:c r="E150" s="7">
        <x:v>1.5569999999999999</x:v>
      </x:c>
      <x:c r="F150" s="4" t="s">
        <x:v>16</x:v>
      </x:c>
      <x:c r="G150" s="4" t="s">
        <x:v>148</x:v>
      </x:c>
      <x:c r="H150" s="4" t="s">
        <x:v>149</x:v>
      </x:c>
      <x:c r="I150" s="9" t="s">
        <x:v>228</x:v>
      </x:c>
      <x:c r="J150" s="9" t="s">
        <x:v>17</x:v>
      </x:c>
      <x:c r="K150" s="4" t="s">
        <x:v>151</x:v>
      </x:c>
      <x:c r="L150" s="9" t="s">
        <x:v>152</x:v>
      </x:c>
      <x:c r="M150" s="4"/>
    </x:row>
    <x:row r="151" ht="39.5" customHeight="1">
      <x:c r="A151" s="4" t="s">
        <x:v>234</x:v>
      </x:c>
      <x:c r="B151" s="4" t="s">
        <x:v>7</x:v>
      </x:c>
      <x:c r="C151" s="5">
        <x:v>298.14999999999998</x:v>
      </x:c>
      <x:c r="D151" s="6">
        <x:v>7.7000000000000002E-3</x:v>
      </x:c>
      <x:c r="E151" s="7">
        <x:v>1.5549999999999999</x:v>
      </x:c>
      <x:c r="F151" s="4" t="s">
        <x:v>16</x:v>
      </x:c>
      <x:c r="G151" s="4" t="s">
        <x:v>148</x:v>
      </x:c>
      <x:c r="H151" s="4" t="s">
        <x:v>149</x:v>
      </x:c>
      <x:c r="I151" s="9" t="s">
        <x:v>228</x:v>
      </x:c>
      <x:c r="J151" s="9" t="s">
        <x:v>17</x:v>
      </x:c>
      <x:c r="K151" s="4" t="s">
        <x:v>151</x:v>
      </x:c>
      <x:c r="L151" s="9" t="s">
        <x:v>152</x:v>
      </x:c>
      <x:c r="M151" s="4"/>
    </x:row>
    <x:row r="152" ht="39.5" customHeight="1">
      <x:c r="A152" s="4" t="s">
        <x:v>235</x:v>
      </x:c>
      <x:c r="B152" s="4" t="s">
        <x:v>7</x:v>
      </x:c>
      <x:c r="C152" s="5">
        <x:v>298.14999999999998</x:v>
      </x:c>
      <x:c r="D152" s="6">
        <x:v>8.9999999999999993E-3</x:v>
      </x:c>
      <x:c r="E152" s="7">
        <x:v>1.544</x:v>
      </x:c>
      <x:c r="F152" s="4" t="s">
        <x:v>16</x:v>
      </x:c>
      <x:c r="G152" s="4" t="s">
        <x:v>148</x:v>
      </x:c>
      <x:c r="H152" s="4" t="s">
        <x:v>149</x:v>
      </x:c>
      <x:c r="I152" s="9" t="s">
        <x:v>228</x:v>
      </x:c>
      <x:c r="J152" s="9" t="s">
        <x:v>17</x:v>
      </x:c>
      <x:c r="K152" s="4" t="s">
        <x:v>151</x:v>
      </x:c>
      <x:c r="L152" s="9" t="s">
        <x:v>152</x:v>
      </x:c>
      <x:c r="M152" s="4"/>
    </x:row>
    <x:row r="153" ht="39.5" customHeight="1">
      <x:c r="A153" s="4" t="s">
        <x:v>236</x:v>
      </x:c>
      <x:c r="B153" s="4" t="s">
        <x:v>7</x:v>
      </x:c>
      <x:c r="C153" s="5">
        <x:v>298.14999999999998</x:v>
      </x:c>
      <x:c r="D153" s="6">
        <x:v>9.2999999999999992E-3</x:v>
      </x:c>
      <x:c r="E153" s="7">
        <x:v>1.544</x:v>
      </x:c>
      <x:c r="F153" s="4" t="s">
        <x:v>16</x:v>
      </x:c>
      <x:c r="G153" s="4" t="s">
        <x:v>148</x:v>
      </x:c>
      <x:c r="H153" s="4" t="s">
        <x:v>149</x:v>
      </x:c>
      <x:c r="I153" s="9" t="s">
        <x:v>228</x:v>
      </x:c>
      <x:c r="J153" s="9" t="s">
        <x:v>17</x:v>
      </x:c>
      <x:c r="K153" s="4" t="s">
        <x:v>151</x:v>
      </x:c>
      <x:c r="L153" s="9" t="s">
        <x:v>152</x:v>
      </x:c>
      <x:c r="M153" s="4"/>
    </x:row>
    <x:row r="154" ht="39.5" customHeight="1">
      <x:c r="A154" s="4" t="s">
        <x:v>237</x:v>
      </x:c>
      <x:c r="B154" s="4" t="s">
        <x:v>7</x:v>
      </x:c>
      <x:c r="C154" s="5">
        <x:v>298.14999999999998</x:v>
      </x:c>
      <x:c r="D154" s="6">
        <x:v>0.01</x:v>
      </x:c>
      <x:c r="E154" s="7">
        <x:v>1.5469999999999999</x:v>
      </x:c>
      <x:c r="F154" s="4" t="s">
        <x:v>16</x:v>
      </x:c>
      <x:c r="G154" s="4" t="s">
        <x:v>148</x:v>
      </x:c>
      <x:c r="H154" s="4" t="s">
        <x:v>149</x:v>
      </x:c>
      <x:c r="I154" s="9" t="s">
        <x:v>228</x:v>
      </x:c>
      <x:c r="J154" s="9" t="s">
        <x:v>17</x:v>
      </x:c>
      <x:c r="K154" s="4" t="s">
        <x:v>151</x:v>
      </x:c>
      <x:c r="L154" s="9" t="s">
        <x:v>152</x:v>
      </x:c>
      <x:c r="M154" s="4" t="s">
        <x:v>238</x:v>
      </x:c>
    </x:row>
    <x:row r="155" ht="39.5" customHeight="1">
      <x:c r="A155" s="4" t="s">
        <x:v>239</x:v>
      </x:c>
      <x:c r="B155" s="4" t="s">
        <x:v>7</x:v>
      </x:c>
      <x:c r="C155" s="5">
        <x:v>298.14999999999998</x:v>
      </x:c>
      <x:c r="D155" s="6">
        <x:v>1.47E-2</x:v>
      </x:c>
      <x:c r="E155" s="7">
        <x:v>1.542</x:v>
      </x:c>
      <x:c r="F155" s="4" t="s">
        <x:v>16</x:v>
      </x:c>
      <x:c r="G155" s="4" t="s">
        <x:v>148</x:v>
      </x:c>
      <x:c r="H155" s="4" t="s">
        <x:v>149</x:v>
      </x:c>
      <x:c r="I155" s="9" t="s">
        <x:v>228</x:v>
      </x:c>
      <x:c r="J155" s="9" t="s">
        <x:v>17</x:v>
      </x:c>
      <x:c r="K155" s="4" t="s">
        <x:v>151</x:v>
      </x:c>
      <x:c r="L155" s="9" t="s">
        <x:v>152</x:v>
      </x:c>
      <x:c r="M155" s="4"/>
    </x:row>
    <x:row r="156" ht="39.5" customHeight="1">
      <x:c r="A156" s="4" t="s">
        <x:v>240</x:v>
      </x:c>
      <x:c r="B156" s="4" t="s">
        <x:v>7</x:v>
      </x:c>
      <x:c r="C156" s="5">
        <x:v>298.14999999999998</x:v>
      </x:c>
      <x:c r="D156" s="6">
        <x:v>6.9999999999999999E-4</x:v>
      </x:c>
      <x:c r="E156" s="7">
        <x:v>1.613</x:v>
      </x:c>
      <x:c r="F156" s="4" t="s">
        <x:v>12</x:v>
      </x:c>
      <x:c r="G156" s="4" t="s">
        <x:v>148</x:v>
      </x:c>
      <x:c r="H156" s="4" t="s">
        <x:v>149</x:v>
      </x:c>
      <x:c r="I156" s="9" t="s">
        <x:v>241</x:v>
      </x:c>
      <x:c r="J156" s="9" t="s">
        <x:v>13</x:v>
      </x:c>
      <x:c r="K156" s="4" t="s">
        <x:v>151</x:v>
      </x:c>
      <x:c r="L156" s="9" t="s">
        <x:v>152</x:v>
      </x:c>
      <x:c r="M156" s="4"/>
    </x:row>
    <x:row r="157" ht="39.5" customHeight="1">
      <x:c r="A157" s="4" t="s">
        <x:v>242</x:v>
      </x:c>
      <x:c r="B157" s="4" t="s">
        <x:v>7</x:v>
      </x:c>
      <x:c r="C157" s="5">
        <x:v>298.14999999999998</x:v>
      </x:c>
      <x:c r="D157" s="6">
        <x:v>1.6000000000000001E-3</x:v>
      </x:c>
      <x:c r="E157" s="7">
        <x:v>1.61</x:v>
      </x:c>
      <x:c r="F157" s="4" t="s">
        <x:v>12</x:v>
      </x:c>
      <x:c r="G157" s="4" t="s">
        <x:v>148</x:v>
      </x:c>
      <x:c r="H157" s="4" t="s">
        <x:v>149</x:v>
      </x:c>
      <x:c r="I157" s="9" t="s">
        <x:v>241</x:v>
      </x:c>
      <x:c r="J157" s="9" t="s">
        <x:v>13</x:v>
      </x:c>
      <x:c r="K157" s="4" t="s">
        <x:v>151</x:v>
      </x:c>
      <x:c r="L157" s="9" t="s">
        <x:v>152</x:v>
      </x:c>
      <x:c r="M157" s="4"/>
    </x:row>
    <x:row r="158" ht="39.5" customHeight="1">
      <x:c r="A158" s="4" t="s">
        <x:v>243</x:v>
      </x:c>
      <x:c r="B158" s="4" t="s">
        <x:v>7</x:v>
      </x:c>
      <x:c r="C158" s="5">
        <x:v>298.14999999999998</x:v>
      </x:c>
      <x:c r="D158" s="6">
        <x:v>3.3E-3</x:v>
      </x:c>
      <x:c r="E158" s="7">
        <x:v>1.6220000000000001</x:v>
      </x:c>
      <x:c r="F158" s="4" t="s">
        <x:v>12</x:v>
      </x:c>
      <x:c r="G158" s="4" t="s">
        <x:v>148</x:v>
      </x:c>
      <x:c r="H158" s="4" t="s">
        <x:v>149</x:v>
      </x:c>
      <x:c r="I158" s="9" t="s">
        <x:v>241</x:v>
      </x:c>
      <x:c r="J158" s="9" t="s">
        <x:v>13</x:v>
      </x:c>
      <x:c r="K158" s="4" t="s">
        <x:v>151</x:v>
      </x:c>
      <x:c r="L158" s="9" t="s">
        <x:v>152</x:v>
      </x:c>
      <x:c r="M158" s="4"/>
    </x:row>
    <x:row r="159" ht="39.5" customHeight="1">
      <x:c r="A159" s="4" t="s">
        <x:v>244</x:v>
      </x:c>
      <x:c r="B159" s="4" t="s">
        <x:v>7</x:v>
      </x:c>
      <x:c r="C159" s="5">
        <x:v>298.14999999999998</x:v>
      </x:c>
      <x:c r="D159" s="6">
        <x:v>4.4999999999999997E-3</x:v>
      </x:c>
      <x:c r="E159" s="7">
        <x:v>1.6140000000000001</x:v>
      </x:c>
      <x:c r="F159" s="4" t="s">
        <x:v>12</x:v>
      </x:c>
      <x:c r="G159" s="4" t="s">
        <x:v>148</x:v>
      </x:c>
      <x:c r="H159" s="4" t="s">
        <x:v>149</x:v>
      </x:c>
      <x:c r="I159" s="9" t="s">
        <x:v>241</x:v>
      </x:c>
      <x:c r="J159" s="9" t="s">
        <x:v>13</x:v>
      </x:c>
      <x:c r="K159" s="4" t="s">
        <x:v>151</x:v>
      </x:c>
      <x:c r="L159" s="9" t="s">
        <x:v>152</x:v>
      </x:c>
      <x:c r="M159" s="4"/>
    </x:row>
    <x:row r="160" ht="39.5" customHeight="1">
      <x:c r="A160" s="4" t="s">
        <x:v>245</x:v>
      </x:c>
      <x:c r="B160" s="4" t="s">
        <x:v>7</x:v>
      </x:c>
      <x:c r="C160" s="5">
        <x:v>298.14999999999998</x:v>
      </x:c>
      <x:c r="D160" s="6">
        <x:v>5.1999999999999998E-3</x:v>
      </x:c>
      <x:c r="E160" s="7">
        <x:v>1.615</x:v>
      </x:c>
      <x:c r="F160" s="4" t="s">
        <x:v>12</x:v>
      </x:c>
      <x:c r="G160" s="4" t="s">
        <x:v>148</x:v>
      </x:c>
      <x:c r="H160" s="4" t="s">
        <x:v>149</x:v>
      </x:c>
      <x:c r="I160" s="9" t="s">
        <x:v>241</x:v>
      </x:c>
      <x:c r="J160" s="9" t="s">
        <x:v>13</x:v>
      </x:c>
      <x:c r="K160" s="4" t="s">
        <x:v>151</x:v>
      </x:c>
      <x:c r="L160" s="9" t="s">
        <x:v>152</x:v>
      </x:c>
      <x:c r="M160" s="4"/>
    </x:row>
    <x:row r="161" ht="39.5" customHeight="1">
      <x:c r="A161" s="4" t="s">
        <x:v>246</x:v>
      </x:c>
      <x:c r="B161" s="4" t="s">
        <x:v>7</x:v>
      </x:c>
      <x:c r="C161" s="5">
        <x:v>298.14999999999998</x:v>
      </x:c>
      <x:c r="D161" s="6">
        <x:v>6.4999999999999997E-3</x:v>
      </x:c>
      <x:c r="E161" s="7">
        <x:v>1.6180000000000001</x:v>
      </x:c>
      <x:c r="F161" s="4" t="s">
        <x:v>12</x:v>
      </x:c>
      <x:c r="G161" s="4" t="s">
        <x:v>148</x:v>
      </x:c>
      <x:c r="H161" s="4" t="s">
        <x:v>149</x:v>
      </x:c>
      <x:c r="I161" s="9" t="s">
        <x:v>241</x:v>
      </x:c>
      <x:c r="J161" s="9" t="s">
        <x:v>13</x:v>
      </x:c>
      <x:c r="K161" s="4" t="s">
        <x:v>151</x:v>
      </x:c>
      <x:c r="L161" s="9" t="s">
        <x:v>152</x:v>
      </x:c>
      <x:c r="M161" s="4"/>
    </x:row>
    <x:row r="162" ht="39.5" customHeight="1">
      <x:c r="A162" s="4" t="s">
        <x:v>247</x:v>
      </x:c>
      <x:c r="B162" s="4" t="s">
        <x:v>7</x:v>
      </x:c>
      <x:c r="C162" s="5">
        <x:v>298.14999999999998</x:v>
      </x:c>
      <x:c r="D162" s="6">
        <x:v>7.7000000000000002E-3</x:v>
      </x:c>
      <x:c r="E162" s="7">
        <x:v>1.62</x:v>
      </x:c>
      <x:c r="F162" s="4" t="s">
        <x:v>12</x:v>
      </x:c>
      <x:c r="G162" s="4" t="s">
        <x:v>148</x:v>
      </x:c>
      <x:c r="H162" s="4" t="s">
        <x:v>149</x:v>
      </x:c>
      <x:c r="I162" s="9" t="s">
        <x:v>241</x:v>
      </x:c>
      <x:c r="J162" s="9" t="s">
        <x:v>13</x:v>
      </x:c>
      <x:c r="K162" s="4" t="s">
        <x:v>151</x:v>
      </x:c>
      <x:c r="L162" s="9" t="s">
        <x:v>152</x:v>
      </x:c>
      <x:c r="M162" s="4"/>
    </x:row>
    <x:row r="163" ht="39.5" customHeight="1">
      <x:c r="A163" s="4" t="s">
        <x:v>248</x:v>
      </x:c>
      <x:c r="B163" s="4" t="s">
        <x:v>7</x:v>
      </x:c>
      <x:c r="C163" s="5">
        <x:v>298.14999999999998</x:v>
      </x:c>
      <x:c r="D163" s="6">
        <x:v>8.9999999999999993E-3</x:v>
      </x:c>
      <x:c r="E163" s="7">
        <x:v>1.613</x:v>
      </x:c>
      <x:c r="F163" s="4" t="s">
        <x:v>12</x:v>
      </x:c>
      <x:c r="G163" s="4" t="s">
        <x:v>148</x:v>
      </x:c>
      <x:c r="H163" s="4" t="s">
        <x:v>149</x:v>
      </x:c>
      <x:c r="I163" s="9" t="s">
        <x:v>241</x:v>
      </x:c>
      <x:c r="J163" s="9" t="s">
        <x:v>13</x:v>
      </x:c>
      <x:c r="K163" s="4" t="s">
        <x:v>151</x:v>
      </x:c>
      <x:c r="L163" s="9" t="s">
        <x:v>152</x:v>
      </x:c>
      <x:c r="M163" s="4"/>
    </x:row>
    <x:row r="164" ht="39.5" customHeight="1">
      <x:c r="A164" s="4" t="s">
        <x:v>249</x:v>
      </x:c>
      <x:c r="B164" s="4" t="s">
        <x:v>7</x:v>
      </x:c>
      <x:c r="C164" s="5">
        <x:v>298.14999999999998</x:v>
      </x:c>
      <x:c r="D164" s="6">
        <x:v>9.2999999999999992E-3</x:v>
      </x:c>
      <x:c r="E164" s="7">
        <x:v>1.6140000000000001</x:v>
      </x:c>
      <x:c r="F164" s="4" t="s">
        <x:v>12</x:v>
      </x:c>
      <x:c r="G164" s="4" t="s">
        <x:v>148</x:v>
      </x:c>
      <x:c r="H164" s="4" t="s">
        <x:v>149</x:v>
      </x:c>
      <x:c r="I164" s="9" t="s">
        <x:v>241</x:v>
      </x:c>
      <x:c r="J164" s="9" t="s">
        <x:v>13</x:v>
      </x:c>
      <x:c r="K164" s="4" t="s">
        <x:v>151</x:v>
      </x:c>
      <x:c r="L164" s="9" t="s">
        <x:v>152</x:v>
      </x:c>
      <x:c r="M164" s="4"/>
    </x:row>
    <x:row r="165" ht="39.5" customHeight="1">
      <x:c r="A165" s="4" t="s">
        <x:v>250</x:v>
      </x:c>
      <x:c r="B165" s="4" t="s">
        <x:v>7</x:v>
      </x:c>
      <x:c r="C165" s="5">
        <x:v>298.14999999999998</x:v>
      </x:c>
      <x:c r="D165" s="6">
        <x:v>0.01</x:v>
      </x:c>
      <x:c r="E165" s="7">
        <x:v>1.619</x:v>
      </x:c>
      <x:c r="F165" s="4" t="s">
        <x:v>12</x:v>
      </x:c>
      <x:c r="G165" s="4" t="s">
        <x:v>148</x:v>
      </x:c>
      <x:c r="H165" s="4" t="s">
        <x:v>149</x:v>
      </x:c>
      <x:c r="I165" s="9" t="s">
        <x:v>241</x:v>
      </x:c>
      <x:c r="J165" s="9" t="s">
        <x:v>13</x:v>
      </x:c>
      <x:c r="K165" s="4" t="s">
        <x:v>151</x:v>
      </x:c>
      <x:c r="L165" s="9" t="s">
        <x:v>152</x:v>
      </x:c>
      <x:c r="M165" s="4"/>
    </x:row>
    <x:row r="166" ht="39.5" customHeight="1">
      <x:c r="A166" s="4" t="s">
        <x:v>251</x:v>
      </x:c>
      <x:c r="B166" s="4" t="s">
        <x:v>7</x:v>
      </x:c>
      <x:c r="C166" s="5">
        <x:v>298.14999999999998</x:v>
      </x:c>
      <x:c r="D166" s="6">
        <x:v>2.0000000000000002E-5</x:v>
      </x:c>
      <x:c r="E166" s="7">
        <x:v>1.51</x:v>
      </x:c>
      <x:c r="F166" s="4" t="s">
        <x:v>22</x:v>
      </x:c>
      <x:c r="G166" s="4" t="s">
        <x:v>148</x:v>
      </x:c>
      <x:c r="H166" s="4" t="s">
        <x:v>149</x:v>
      </x:c>
      <x:c r="I166" s="9" t="s">
        <x:v>252</x:v>
      </x:c>
      <x:c r="J166" s="9" t="s">
        <x:v>23</x:v>
      </x:c>
      <x:c r="K166" s="4" t="s">
        <x:v>151</x:v>
      </x:c>
      <x:c r="L166" s="9" t="s">
        <x:v>152</x:v>
      </x:c>
      <x:c r="M166" s="4"/>
    </x:row>
    <x:row r="167" ht="39.5" customHeight="1">
      <x:c r="A167" s="4" t="s">
        <x:v>253</x:v>
      </x:c>
      <x:c r="B167" s="4" t="s">
        <x:v>7</x:v>
      </x:c>
      <x:c r="C167" s="5">
        <x:v>298.14999999999998</x:v>
      </x:c>
      <x:c r="D167" s="6">
        <x:v>9.0000000000000006E-5</x:v>
      </x:c>
      <x:c r="E167" s="7">
        <x:v>1.54</x:v>
      </x:c>
      <x:c r="F167" s="4" t="s">
        <x:v>22</x:v>
      </x:c>
      <x:c r="G167" s="4" t="s">
        <x:v>148</x:v>
      </x:c>
      <x:c r="H167" s="4" t="s">
        <x:v>149</x:v>
      </x:c>
      <x:c r="I167" s="9" t="s">
        <x:v>252</x:v>
      </x:c>
      <x:c r="J167" s="9" t="s">
        <x:v>23</x:v>
      </x:c>
      <x:c r="K167" s="4" t="s">
        <x:v>151</x:v>
      </x:c>
      <x:c r="L167" s="9" t="s">
        <x:v>152</x:v>
      </x:c>
      <x:c r="M167" s="4"/>
    </x:row>
    <x:row r="168" ht="39.5" customHeight="1">
      <x:c r="A168" s="4" t="s">
        <x:v>254</x:v>
      </x:c>
      <x:c r="B168" s="4" t="s">
        <x:v>7</x:v>
      </x:c>
      <x:c r="C168" s="5">
        <x:v>298.14999999999998</x:v>
      </x:c>
      <x:c r="D168" s="6">
        <x:v>5.0000000000000001E-4</x:v>
      </x:c>
      <x:c r="E168" s="7">
        <x:v>1.58</x:v>
      </x:c>
      <x:c r="F168" s="4" t="s">
        <x:v>22</x:v>
      </x:c>
      <x:c r="G168" s="4" t="s">
        <x:v>148</x:v>
      </x:c>
      <x:c r="H168" s="4" t="s">
        <x:v>149</x:v>
      </x:c>
      <x:c r="I168" s="9" t="s">
        <x:v>252</x:v>
      </x:c>
      <x:c r="J168" s="9" t="s">
        <x:v>23</x:v>
      </x:c>
      <x:c r="K168" s="4" t="s">
        <x:v>151</x:v>
      </x:c>
      <x:c r="L168" s="9" t="s">
        <x:v>152</x:v>
      </x:c>
      <x:c r="M168" s="4"/>
    </x:row>
    <x:row r="169" ht="39.5" customHeight="1">
      <x:c r="A169" s="4" t="s">
        <x:v>255</x:v>
      </x:c>
      <x:c r="B169" s="4" t="s">
        <x:v>7</x:v>
      </x:c>
      <x:c r="C169" s="5">
        <x:v>298.14999999999998</x:v>
      </x:c>
      <x:c r="D169" s="6">
        <x:v>2E-3</x:v>
      </x:c>
      <x:c r="E169" s="7">
        <x:v>1.58</x:v>
      </x:c>
      <x:c r="F169" s="4" t="s">
        <x:v>22</x:v>
      </x:c>
      <x:c r="G169" s="4" t="s">
        <x:v>148</x:v>
      </x:c>
      <x:c r="H169" s="4" t="s">
        <x:v>149</x:v>
      </x:c>
      <x:c r="I169" s="9" t="s">
        <x:v>252</x:v>
      </x:c>
      <x:c r="J169" s="9" t="s">
        <x:v>23</x:v>
      </x:c>
      <x:c r="K169" s="4" t="s">
        <x:v>151</x:v>
      </x:c>
      <x:c r="L169" s="9" t="s">
        <x:v>152</x:v>
      </x:c>
      <x:c r="M169" s="4"/>
    </x:row>
    <x:row r="170" ht="39.5" customHeight="1">
      <x:c r="A170" s="4" t="s">
        <x:v>256</x:v>
      </x:c>
      <x:c r="B170" s="4" t="s">
        <x:v>7</x:v>
      </x:c>
      <x:c r="C170" s="5">
        <x:v>298.14999999999998</x:v>
      </x:c>
      <x:c r="D170" s="6">
        <x:v>1E-4</x:v>
      </x:c>
      <x:c r="E170" s="7">
        <x:v>1.603</x:v>
      </x:c>
      <x:c r="F170" s="4" t="s">
        <x:v>20</x:v>
      </x:c>
      <x:c r="G170" s="4" t="s">
        <x:v>148</x:v>
      </x:c>
      <x:c r="H170" s="4" t="s">
        <x:v>149</x:v>
      </x:c>
      <x:c r="I170" s="9" t="s">
        <x:v>257</x:v>
      </x:c>
      <x:c r="J170" s="9" t="s">
        <x:v>21</x:v>
      </x:c>
      <x:c r="K170" s="4" t="s">
        <x:v>151</x:v>
      </x:c>
      <x:c r="L170" s="9" t="s">
        <x:v>152</x:v>
      </x:c>
      <x:c r="M170" s="4"/>
    </x:row>
    <x:row r="171" ht="39.5" customHeight="1">
      <x:c r="A171" s="4" t="s">
        <x:v>258</x:v>
      </x:c>
      <x:c r="B171" s="4" t="s">
        <x:v>7</x:v>
      </x:c>
      <x:c r="C171" s="5">
        <x:v>298.14999999999998</x:v>
      </x:c>
      <x:c r="D171" s="6">
        <x:v>5.0000000000000001E-4</x:v>
      </x:c>
      <x:c r="E171" s="7">
        <x:v>1.593</x:v>
      </x:c>
      <x:c r="F171" s="4" t="s">
        <x:v>20</x:v>
      </x:c>
      <x:c r="G171" s="4" t="s">
        <x:v>148</x:v>
      </x:c>
      <x:c r="H171" s="4" t="s">
        <x:v>149</x:v>
      </x:c>
      <x:c r="I171" s="9" t="s">
        <x:v>257</x:v>
      </x:c>
      <x:c r="J171" s="9" t="s">
        <x:v>21</x:v>
      </x:c>
      <x:c r="K171" s="4" t="s">
        <x:v>151</x:v>
      </x:c>
      <x:c r="L171" s="9" t="s">
        <x:v>152</x:v>
      </x:c>
      <x:c r="M171" s="4"/>
    </x:row>
    <x:row r="172" ht="39.5" customHeight="1">
      <x:c r="A172" s="4" t="s">
        <x:v>259</x:v>
      </x:c>
      <x:c r="B172" s="4" t="s">
        <x:v>7</x:v>
      </x:c>
      <x:c r="C172" s="5">
        <x:v>298.14999999999998</x:v>
      </x:c>
      <x:c r="D172" s="6">
        <x:v>1E-3</x:v>
      </x:c>
      <x:c r="E172" s="7">
        <x:v>1.587</x:v>
      </x:c>
      <x:c r="F172" s="4" t="s">
        <x:v>20</x:v>
      </x:c>
      <x:c r="G172" s="4" t="s">
        <x:v>148</x:v>
      </x:c>
      <x:c r="H172" s="4" t="s">
        <x:v>149</x:v>
      </x:c>
      <x:c r="I172" s="9" t="s">
        <x:v>257</x:v>
      </x:c>
      <x:c r="J172" s="9" t="s">
        <x:v>21</x:v>
      </x:c>
      <x:c r="K172" s="4" t="s">
        <x:v>151</x:v>
      </x:c>
      <x:c r="L172" s="9" t="s">
        <x:v>152</x:v>
      </x:c>
      <x:c r="M172" s="4"/>
    </x:row>
    <x:row r="173" ht="39.5" customHeight="1">
      <x:c r="A173" s="4" t="s">
        <x:v>260</x:v>
      </x:c>
      <x:c r="B173" s="4" t="s">
        <x:v>7</x:v>
      </x:c>
      <x:c r="C173" s="5">
        <x:v>298.14999999999998</x:v>
      </x:c>
      <x:c r="D173" s="6">
        <x:v>5.0000000000000001E-3</x:v>
      </x:c>
      <x:c r="E173" s="7">
        <x:v>1.5620000000000001</x:v>
      </x:c>
      <x:c r="F173" s="4" t="s">
        <x:v>20</x:v>
      </x:c>
      <x:c r="G173" s="4" t="s">
        <x:v>148</x:v>
      </x:c>
      <x:c r="H173" s="4" t="s">
        <x:v>149</x:v>
      </x:c>
      <x:c r="I173" s="9" t="s">
        <x:v>257</x:v>
      </x:c>
      <x:c r="J173" s="9" t="s">
        <x:v>21</x:v>
      </x:c>
      <x:c r="K173" s="4" t="s">
        <x:v>151</x:v>
      </x:c>
      <x:c r="L173" s="9" t="s">
        <x:v>152</x:v>
      </x:c>
      <x:c r="M173" s="4"/>
    </x:row>
    <x:row r="174" ht="39.5" customHeight="1">
      <x:c r="A174" s="4" t="s">
        <x:v>261</x:v>
      </x:c>
      <x:c r="B174" s="4" t="s">
        <x:v>7</x:v>
      </x:c>
      <x:c r="C174" s="5">
        <x:v>298.14999999999998</x:v>
      </x:c>
      <x:c r="D174" s="6">
        <x:v>0.01</x:v>
      </x:c>
      <x:c r="E174" s="7">
        <x:v>1.5469999999999999</x:v>
      </x:c>
      <x:c r="F174" s="4" t="s">
        <x:v>20</x:v>
      </x:c>
      <x:c r="G174" s="4" t="s">
        <x:v>148</x:v>
      </x:c>
      <x:c r="H174" s="4" t="s">
        <x:v>149</x:v>
      </x:c>
      <x:c r="I174" s="9" t="s">
        <x:v>257</x:v>
      </x:c>
      <x:c r="J174" s="9" t="s">
        <x:v>21</x:v>
      </x:c>
      <x:c r="K174" s="4" t="s">
        <x:v>151</x:v>
      </x:c>
      <x:c r="L174" s="9" t="s">
        <x:v>152</x:v>
      </x:c>
      <x:c r="M174" s="4" t="s">
        <x:v>238</x:v>
      </x:c>
    </x:row>
    <x:row r="175" ht="39.5" customHeight="1">
      <x:c r="A175" s="4" t="s">
        <x:v>262</x:v>
      </x:c>
      <x:c r="B175" s="4" t="s">
        <x:v>7</x:v>
      </x:c>
      <x:c r="C175" s="5">
        <x:v>298.14999999999998</x:v>
      </x:c>
      <x:c r="D175" s="6">
        <x:v>0.05</x:v>
      </x:c>
      <x:c r="E175" s="7">
        <x:v>1.5029999999999999</x:v>
      </x:c>
      <x:c r="F175" s="4" t="s">
        <x:v>20</x:v>
      </x:c>
      <x:c r="G175" s="4" t="s">
        <x:v>148</x:v>
      </x:c>
      <x:c r="H175" s="4" t="s">
        <x:v>149</x:v>
      </x:c>
      <x:c r="I175" s="9" t="s">
        <x:v>257</x:v>
      </x:c>
      <x:c r="J175" s="9" t="s">
        <x:v>21</x:v>
      </x:c>
      <x:c r="K175" s="4" t="s">
        <x:v>151</x:v>
      </x:c>
      <x:c r="L175" s="9" t="s">
        <x:v>152</x:v>
      </x:c>
      <x:c r="M175" s="4"/>
    </x:row>
    <x:row r="176" ht="39.5" customHeight="1">
      <x:c r="A176" s="4" t="s">
        <x:v>263</x:v>
      </x:c>
      <x:c r="B176" s="4" t="s">
        <x:v>7</x:v>
      </x:c>
      <x:c r="C176" s="5">
        <x:v>298.14999999999998</x:v>
      </x:c>
      <x:c r="D176" s="6">
        <x:v>0.1</x:v>
      </x:c>
      <x:c r="E176" s="7">
        <x:v>1.4850000000000001</x:v>
      </x:c>
      <x:c r="F176" s="4" t="s">
        <x:v>20</x:v>
      </x:c>
      <x:c r="G176" s="4" t="s">
        <x:v>148</x:v>
      </x:c>
      <x:c r="H176" s="4" t="s">
        <x:v>149</x:v>
      </x:c>
      <x:c r="I176" s="9" t="s">
        <x:v>257</x:v>
      </x:c>
      <x:c r="J176" s="9" t="s">
        <x:v>21</x:v>
      </x:c>
      <x:c r="K176" s="4" t="s">
        <x:v>151</x:v>
      </x:c>
      <x:c r="L176" s="9" t="s">
        <x:v>152</x:v>
      </x:c>
      <x:c r="M176" s="4"/>
    </x:row>
    <x:row r="177" ht="39.5" customHeight="1">
      <x:c r="A177" s="4" t="s">
        <x:v>264</x:v>
      </x:c>
      <x:c r="B177" s="4" t="s">
        <x:v>7</x:v>
      </x:c>
      <x:c r="C177" s="5">
        <x:v>298.14999999999998</x:v>
      </x:c>
      <x:c r="D177" s="6">
        <x:v>0.2</x:v>
      </x:c>
      <x:c r="E177" s="7">
        <x:v>1.474</x:v>
      </x:c>
      <x:c r="F177" s="4" t="s">
        <x:v>20</x:v>
      </x:c>
      <x:c r="G177" s="4" t="s">
        <x:v>148</x:v>
      </x:c>
      <x:c r="H177" s="4" t="s">
        <x:v>149</x:v>
      </x:c>
      <x:c r="I177" s="9" t="s">
        <x:v>257</x:v>
      </x:c>
      <x:c r="J177" s="9" t="s">
        <x:v>21</x:v>
      </x:c>
      <x:c r="K177" s="4" t="s">
        <x:v>151</x:v>
      </x:c>
      <x:c r="L177" s="9" t="s">
        <x:v>152</x:v>
      </x:c>
      <x:c r="M177" s="4"/>
    </x:row>
    <x:row r="178" ht="39.5" customHeight="1">
      <x:c r="A178" s="4" t="s">
        <x:v>265</x:v>
      </x:c>
      <x:c r="B178" s="4" t="s">
        <x:v>7</x:v>
      </x:c>
      <x:c r="C178" s="5">
        <x:v>298.14999999999998</x:v>
      </x:c>
      <x:c r="D178" s="6">
        <x:v>0.5</x:v>
      </x:c>
      <x:c r="E178" s="7">
        <x:v>1.474</x:v>
      </x:c>
      <x:c r="F178" s="4" t="s">
        <x:v>20</x:v>
      </x:c>
      <x:c r="G178" s="4" t="s">
        <x:v>148</x:v>
      </x:c>
      <x:c r="H178" s="4" t="s">
        <x:v>149</x:v>
      </x:c>
      <x:c r="I178" s="9" t="s">
        <x:v>257</x:v>
      </x:c>
      <x:c r="J178" s="9" t="s">
        <x:v>21</x:v>
      </x:c>
      <x:c r="K178" s="4" t="s">
        <x:v>151</x:v>
      </x:c>
      <x:c r="L178" s="9" t="s">
        <x:v>152</x:v>
      </x:c>
      <x:c r="M178" s="4" t="s">
        <x:v>213</x:v>
      </x:c>
    </x:row>
    <x:row r="179" ht="39.5" customHeight="1">
      <x:c r="A179" s="4" t="s">
        <x:v>266</x:v>
      </x:c>
      <x:c r="B179" s="4" t="s">
        <x:v>7</x:v>
      </x:c>
      <x:c r="C179" s="5">
        <x:v>298.14999999999998</x:v>
      </x:c>
      <x:c r="D179" s="6">
        <x:v>0.7</x:v>
      </x:c>
      <x:c r="E179" s="7">
        <x:v>1.4770000000000001</x:v>
      </x:c>
      <x:c r="F179" s="4" t="s">
        <x:v>20</x:v>
      </x:c>
      <x:c r="G179" s="4" t="s">
        <x:v>148</x:v>
      </x:c>
      <x:c r="H179" s="4" t="s">
        <x:v>149</x:v>
      </x:c>
      <x:c r="I179" s="9" t="s">
        <x:v>257</x:v>
      </x:c>
      <x:c r="J179" s="9" t="s">
        <x:v>21</x:v>
      </x:c>
      <x:c r="K179" s="4" t="s">
        <x:v>151</x:v>
      </x:c>
      <x:c r="L179" s="9" t="s">
        <x:v>152</x:v>
      </x:c>
      <x:c r="M179" s="4"/>
    </x:row>
    <x:row r="180" ht="39.5" customHeight="1">
      <x:c r="A180" s="4" t="s">
        <x:v>267</x:v>
      </x:c>
      <x:c r="B180" s="4" t="s">
        <x:v>7</x:v>
      </x:c>
      <x:c r="C180" s="5">
        <x:v>298.14999999999998</x:v>
      </x:c>
      <x:c r="D180" s="6">
        <x:v>1</x:v>
      </x:c>
      <x:c r="E180" s="7">
        <x:v>1.484</x:v>
      </x:c>
      <x:c r="F180" s="4" t="s">
        <x:v>20</x:v>
      </x:c>
      <x:c r="G180" s="4" t="s">
        <x:v>148</x:v>
      </x:c>
      <x:c r="H180" s="4" t="s">
        <x:v>149</x:v>
      </x:c>
      <x:c r="I180" s="9" t="s">
        <x:v>257</x:v>
      </x:c>
      <x:c r="J180" s="9" t="s">
        <x:v>21</x:v>
      </x:c>
      <x:c r="K180" s="4" t="s">
        <x:v>151</x:v>
      </x:c>
      <x:c r="L180" s="9" t="s">
        <x:v>152</x:v>
      </x:c>
      <x:c r="M180" s="4" t="s">
        <x:v>268</x:v>
      </x:c>
    </x:row>
    <x:row r="181" ht="39.5" customHeight="1">
      <x:c r="A181" s="4" t="s">
        <x:v>269</x:v>
      </x:c>
      <x:c r="B181" s="4" t="s">
        <x:v>7</x:v>
      </x:c>
      <x:c r="C181" s="5">
        <x:v>298.14999999999998</x:v>
      </x:c>
      <x:c r="D181" s="6">
        <x:v>1.5</x:v>
      </x:c>
      <x:c r="E181" s="7">
        <x:v>1.5009999999999999</x:v>
      </x:c>
      <x:c r="F181" s="4" t="s">
        <x:v>20</x:v>
      </x:c>
      <x:c r="G181" s="4" t="s">
        <x:v>148</x:v>
      </x:c>
      <x:c r="H181" s="4" t="s">
        <x:v>149</x:v>
      </x:c>
      <x:c r="I181" s="9" t="s">
        <x:v>257</x:v>
      </x:c>
      <x:c r="J181" s="9" t="s">
        <x:v>21</x:v>
      </x:c>
      <x:c r="K181" s="4" t="s">
        <x:v>151</x:v>
      </x:c>
      <x:c r="L181" s="9" t="s">
        <x:v>152</x:v>
      </x:c>
      <x:c r="M181" s="4" t="s">
        <x:v>270</x:v>
      </x:c>
    </x:row>
    <x:row r="182" ht="39.5" customHeight="1">
      <x:c r="A182" s="4" t="s">
        <x:v>271</x:v>
      </x:c>
      <x:c r="B182" s="4" t="s">
        <x:v>7</x:v>
      </x:c>
      <x:c r="C182" s="5">
        <x:v>298.14999999999998</x:v>
      </x:c>
      <x:c r="D182" s="6">
        <x:v>2</x:v>
      </x:c>
      <x:c r="E182" s="7">
        <x:v>1.518</x:v>
      </x:c>
      <x:c r="F182" s="4" t="s">
        <x:v>20</x:v>
      </x:c>
      <x:c r="G182" s="4" t="s">
        <x:v>148</x:v>
      </x:c>
      <x:c r="H182" s="4" t="s">
        <x:v>149</x:v>
      </x:c>
      <x:c r="I182" s="9" t="s">
        <x:v>257</x:v>
      </x:c>
      <x:c r="J182" s="9" t="s">
        <x:v>21</x:v>
      </x:c>
      <x:c r="K182" s="4" t="s">
        <x:v>151</x:v>
      </x:c>
      <x:c r="L182" s="9" t="s">
        <x:v>152</x:v>
      </x:c>
      <x:c r="M182" s="4" t="s">
        <x:v>272</x:v>
      </x:c>
    </x:row>
    <x:row r="183" ht="39.5" customHeight="1">
      <x:c r="A183" s="4" t="s">
        <x:v>273</x:v>
      </x:c>
      <x:c r="B183" s="4" t="s">
        <x:v>7</x:v>
      </x:c>
      <x:c r="C183" s="5">
        <x:v>298.14999999999998</x:v>
      </x:c>
      <x:c r="D183" s="6">
        <x:v>2.5</x:v>
      </x:c>
      <x:c r="E183" s="7">
        <x:v>1.542</x:v>
      </x:c>
      <x:c r="F183" s="4" t="s">
        <x:v>20</x:v>
      </x:c>
      <x:c r="G183" s="4" t="s">
        <x:v>148</x:v>
      </x:c>
      <x:c r="H183" s="4" t="s">
        <x:v>149</x:v>
      </x:c>
      <x:c r="I183" s="9" t="s">
        <x:v>257</x:v>
      </x:c>
      <x:c r="J183" s="9" t="s">
        <x:v>21</x:v>
      </x:c>
      <x:c r="K183" s="4" t="s">
        <x:v>151</x:v>
      </x:c>
      <x:c r="L183" s="9" t="s">
        <x:v>152</x:v>
      </x:c>
      <x:c r="M183" s="4" t="s">
        <x:v>274</x:v>
      </x:c>
    </x:row>
    <x:row r="184" ht="39.5" customHeight="1">
      <x:c r="A184" s="4" t="s">
        <x:v>275</x:v>
      </x:c>
      <x:c r="B184" s="4" t="s">
        <x:v>7</x:v>
      </x:c>
      <x:c r="C184" s="5">
        <x:v>298.14999999999998</x:v>
      </x:c>
      <x:c r="D184" s="6">
        <x:v>3</x:v>
      </x:c>
      <x:c r="E184" s="7">
        <x:v>1.5640000000000001</x:v>
      </x:c>
      <x:c r="F184" s="4" t="s">
        <x:v>20</x:v>
      </x:c>
      <x:c r="G184" s="4" t="s">
        <x:v>148</x:v>
      </x:c>
      <x:c r="H184" s="4" t="s">
        <x:v>149</x:v>
      </x:c>
      <x:c r="I184" s="9" t="s">
        <x:v>257</x:v>
      </x:c>
      <x:c r="J184" s="9" t="s">
        <x:v>21</x:v>
      </x:c>
      <x:c r="K184" s="4" t="s">
        <x:v>151</x:v>
      </x:c>
      <x:c r="L184" s="9" t="s">
        <x:v>152</x:v>
      </x:c>
      <x:c r="M184" s="4" t="s">
        <x:v>276</x:v>
      </x:c>
    </x:row>
    <x:row r="185" ht="39.5" customHeight="1">
      <x:c r="A185" s="4" t="s">
        <x:v>277</x:v>
      </x:c>
      <x:c r="B185" s="4" t="s">
        <x:v>7</x:v>
      </x:c>
      <x:c r="C185" s="5">
        <x:v>298.14999999999998</x:v>
      </x:c>
      <x:c r="D185" s="6">
        <x:v>0.1</x:v>
      </x:c>
      <x:c r="E185" s="7">
        <x:v>1.4830000000000001</x:v>
      </x:c>
      <x:c r="F185" s="4" t="s">
        <x:v>14</x:v>
      </x:c>
      <x:c r="G185" s="4" t="s">
        <x:v>148</x:v>
      </x:c>
      <x:c r="H185" s="4" t="s">
        <x:v>149</x:v>
      </x:c>
      <x:c r="I185" s="9" t="s">
        <x:v>278</x:v>
      </x:c>
      <x:c r="J185" s="9" t="s">
        <x:v>15</x:v>
      </x:c>
      <x:c r="K185" s="4" t="s">
        <x:v>151</x:v>
      </x:c>
      <x:c r="L185" s="9" t="s">
        <x:v>152</x:v>
      </x:c>
      <x:c r="M185" s="4"/>
    </x:row>
    <x:row r="186" ht="39.5" customHeight="1">
      <x:c r="A186" s="4" t="s">
        <x:v>279</x:v>
      </x:c>
      <x:c r="B186" s="4" t="s">
        <x:v>7</x:v>
      </x:c>
      <x:c r="C186" s="5">
        <x:v>298.14999999999998</x:v>
      </x:c>
      <x:c r="D186" s="6">
        <x:v>0.2</x:v>
      </x:c>
      <x:c r="E186" s="7">
        <x:v>1.4770000000000001</x:v>
      </x:c>
      <x:c r="F186" s="4" t="s">
        <x:v>14</x:v>
      </x:c>
      <x:c r="G186" s="4" t="s">
        <x:v>148</x:v>
      </x:c>
      <x:c r="H186" s="4" t="s">
        <x:v>149</x:v>
      </x:c>
      <x:c r="I186" s="9" t="s">
        <x:v>278</x:v>
      </x:c>
      <x:c r="J186" s="9" t="s">
        <x:v>15</x:v>
      </x:c>
      <x:c r="K186" s="4" t="s">
        <x:v>151</x:v>
      </x:c>
      <x:c r="L186" s="9" t="s">
        <x:v>152</x:v>
      </x:c>
      <x:c r="M186" s="4"/>
    </x:row>
    <x:row r="187" ht="39.5" customHeight="1">
      <x:c r="A187" s="4" t="s">
        <x:v>280</x:v>
      </x:c>
      <x:c r="B187" s="4" t="s">
        <x:v>7</x:v>
      </x:c>
      <x:c r="C187" s="5">
        <x:v>298.14999999999998</x:v>
      </x:c>
      <x:c r="D187" s="6">
        <x:v>0.3</x:v>
      </x:c>
      <x:c r="E187" s="7">
        <x:v>1.4750000000000001</x:v>
      </x:c>
      <x:c r="F187" s="4" t="s">
        <x:v>14</x:v>
      </x:c>
      <x:c r="G187" s="4" t="s">
        <x:v>148</x:v>
      </x:c>
      <x:c r="H187" s="4" t="s">
        <x:v>149</x:v>
      </x:c>
      <x:c r="I187" s="9" t="s">
        <x:v>278</x:v>
      </x:c>
      <x:c r="J187" s="9" t="s">
        <x:v>15</x:v>
      </x:c>
      <x:c r="K187" s="4" t="s">
        <x:v>151</x:v>
      </x:c>
      <x:c r="L187" s="9" t="s">
        <x:v>152</x:v>
      </x:c>
      <x:c r="M187" s="4"/>
    </x:row>
    <x:row r="188" ht="39.5" customHeight="1">
      <x:c r="A188" s="4" t="s">
        <x:v>281</x:v>
      </x:c>
      <x:c r="B188" s="4" t="s">
        <x:v>7</x:v>
      </x:c>
      <x:c r="C188" s="5">
        <x:v>298.14999999999998</x:v>
      </x:c>
      <x:c r="D188" s="6">
        <x:v>0.4</x:v>
      </x:c>
      <x:c r="E188" s="7">
        <x:v>1.474</x:v>
      </x:c>
      <x:c r="F188" s="4" t="s">
        <x:v>14</x:v>
      </x:c>
      <x:c r="G188" s="4" t="s">
        <x:v>148</x:v>
      </x:c>
      <x:c r="H188" s="4" t="s">
        <x:v>149</x:v>
      </x:c>
      <x:c r="I188" s="9" t="s">
        <x:v>278</x:v>
      </x:c>
      <x:c r="J188" s="9" t="s">
        <x:v>15</x:v>
      </x:c>
      <x:c r="K188" s="4" t="s">
        <x:v>151</x:v>
      </x:c>
      <x:c r="L188" s="9" t="s">
        <x:v>152</x:v>
      </x:c>
      <x:c r="M188" s="4"/>
    </x:row>
    <x:row r="189" ht="39.5" customHeight="1">
      <x:c r="A189" s="4" t="s">
        <x:v>282</x:v>
      </x:c>
      <x:c r="B189" s="4" t="s">
        <x:v>7</x:v>
      </x:c>
      <x:c r="C189" s="5">
        <x:v>298.14999999999998</x:v>
      </x:c>
      <x:c r="D189" s="6">
        <x:v>0.5</x:v>
      </x:c>
      <x:c r="E189" s="7">
        <x:v>1.4730000000000001</x:v>
      </x:c>
      <x:c r="F189" s="4" t="s">
        <x:v>14</x:v>
      </x:c>
      <x:c r="G189" s="4" t="s">
        <x:v>148</x:v>
      </x:c>
      <x:c r="H189" s="4" t="s">
        <x:v>149</x:v>
      </x:c>
      <x:c r="I189" s="9" t="s">
        <x:v>278</x:v>
      </x:c>
      <x:c r="J189" s="9" t="s">
        <x:v>15</x:v>
      </x:c>
      <x:c r="K189" s="4" t="s">
        <x:v>151</x:v>
      </x:c>
      <x:c r="L189" s="9" t="s">
        <x:v>152</x:v>
      </x:c>
      <x:c r="M189" s="4"/>
    </x:row>
    <x:row r="190" ht="39.5" customHeight="1">
      <x:c r="A190" s="4" t="s">
        <x:v>283</x:v>
      </x:c>
      <x:c r="B190" s="4" t="s">
        <x:v>7</x:v>
      </x:c>
      <x:c r="C190" s="5">
        <x:v>298.14999999999998</x:v>
      </x:c>
      <x:c r="D190" s="6">
        <x:v>0.6</x:v>
      </x:c>
      <x:c r="E190" s="7">
        <x:v>1.474</x:v>
      </x:c>
      <x:c r="F190" s="4" t="s">
        <x:v>14</x:v>
      </x:c>
      <x:c r="G190" s="4" t="s">
        <x:v>148</x:v>
      </x:c>
      <x:c r="H190" s="4" t="s">
        <x:v>149</x:v>
      </x:c>
      <x:c r="I190" s="9" t="s">
        <x:v>278</x:v>
      </x:c>
      <x:c r="J190" s="9" t="s">
        <x:v>15</x:v>
      </x:c>
      <x:c r="K190" s="4" t="s">
        <x:v>151</x:v>
      </x:c>
      <x:c r="L190" s="9" t="s">
        <x:v>152</x:v>
      </x:c>
      <x:c r="M190" s="4"/>
    </x:row>
    <x:row r="191" ht="39.5" customHeight="1">
      <x:c r="A191" s="4" t="s">
        <x:v>284</x:v>
      </x:c>
      <x:c r="B191" s="4" t="s">
        <x:v>7</x:v>
      </x:c>
      <x:c r="C191" s="5">
        <x:v>298.14999999999998</x:v>
      </x:c>
      <x:c r="D191" s="6">
        <x:v>0.7</x:v>
      </x:c>
      <x:c r="E191" s="7">
        <x:v>1.4750000000000001</x:v>
      </x:c>
      <x:c r="F191" s="4" t="s">
        <x:v>14</x:v>
      </x:c>
      <x:c r="G191" s="4" t="s">
        <x:v>148</x:v>
      </x:c>
      <x:c r="H191" s="4" t="s">
        <x:v>149</x:v>
      </x:c>
      <x:c r="I191" s="9" t="s">
        <x:v>278</x:v>
      </x:c>
      <x:c r="J191" s="9" t="s">
        <x:v>15</x:v>
      </x:c>
      <x:c r="K191" s="4" t="s">
        <x:v>151</x:v>
      </x:c>
      <x:c r="L191" s="9" t="s">
        <x:v>152</x:v>
      </x:c>
      <x:c r="M191" s="4" t="s">
        <x:v>215</x:v>
      </x:c>
    </x:row>
    <x:row r="192" ht="39.5" customHeight="1">
      <x:c r="A192" s="4" t="s">
        <x:v>285</x:v>
      </x:c>
      <x:c r="B192" s="4" t="s">
        <x:v>7</x:v>
      </x:c>
      <x:c r="C192" s="5">
        <x:v>298.14999999999998</x:v>
      </x:c>
      <x:c r="D192" s="6">
        <x:v>0.8</x:v>
      </x:c>
      <x:c r="E192" s="7">
        <x:v>1.4770000000000001</x:v>
      </x:c>
      <x:c r="F192" s="4" t="s">
        <x:v>14</x:v>
      </x:c>
      <x:c r="G192" s="4" t="s">
        <x:v>148</x:v>
      </x:c>
      <x:c r="H192" s="4" t="s">
        <x:v>149</x:v>
      </x:c>
      <x:c r="I192" s="9" t="s">
        <x:v>278</x:v>
      </x:c>
      <x:c r="J192" s="9" t="s">
        <x:v>15</x:v>
      </x:c>
      <x:c r="K192" s="4" t="s">
        <x:v>151</x:v>
      </x:c>
      <x:c r="L192" s="9" t="s">
        <x:v>152</x:v>
      </x:c>
      <x:c r="M192" s="4"/>
    </x:row>
    <x:row r="193" ht="39.5" customHeight="1">
      <x:c r="A193" s="4" t="s">
        <x:v>286</x:v>
      </x:c>
      <x:c r="B193" s="4" t="s">
        <x:v>7</x:v>
      </x:c>
      <x:c r="C193" s="5">
        <x:v>298.14999999999998</x:v>
      </x:c>
      <x:c r="D193" s="6">
        <x:v>0.9</x:v>
      </x:c>
      <x:c r="E193" s="7">
        <x:v>1.478</x:v>
      </x:c>
      <x:c r="F193" s="4" t="s">
        <x:v>14</x:v>
      </x:c>
      <x:c r="G193" s="4" t="s">
        <x:v>148</x:v>
      </x:c>
      <x:c r="H193" s="4" t="s">
        <x:v>149</x:v>
      </x:c>
      <x:c r="I193" s="9" t="s">
        <x:v>278</x:v>
      </x:c>
      <x:c r="J193" s="9" t="s">
        <x:v>15</x:v>
      </x:c>
      <x:c r="K193" s="4" t="s">
        <x:v>151</x:v>
      </x:c>
      <x:c r="L193" s="9" t="s">
        <x:v>152</x:v>
      </x:c>
      <x:c r="M193" s="4"/>
    </x:row>
    <x:row r="194" ht="39.5" customHeight="1">
      <x:c r="A194" s="4" t="s">
        <x:v>287</x:v>
      </x:c>
      <x:c r="B194" s="4" t="s">
        <x:v>7</x:v>
      </x:c>
      <x:c r="C194" s="5">
        <x:v>298.14999999999998</x:v>
      </x:c>
      <x:c r="D194" s="6">
        <x:v>1</x:v>
      </x:c>
      <x:c r="E194" s="7">
        <x:v>1.48</x:v>
      </x:c>
      <x:c r="F194" s="4" t="s">
        <x:v>14</x:v>
      </x:c>
      <x:c r="G194" s="4" t="s">
        <x:v>148</x:v>
      </x:c>
      <x:c r="H194" s="4" t="s">
        <x:v>149</x:v>
      </x:c>
      <x:c r="I194" s="9" t="s">
        <x:v>278</x:v>
      </x:c>
      <x:c r="J194" s="9" t="s">
        <x:v>15</x:v>
      </x:c>
      <x:c r="K194" s="4" t="s">
        <x:v>151</x:v>
      </x:c>
      <x:c r="L194" s="9" t="s">
        <x:v>152</x:v>
      </x:c>
      <x:c r="M194" s="4"/>
    </x:row>
    <x:row r="195" ht="39.5" customHeight="1">
      <x:c r="A195" s="4" t="s">
        <x:v>288</x:v>
      </x:c>
      <x:c r="B195" s="4" t="s">
        <x:v>7</x:v>
      </x:c>
      <x:c r="C195" s="5">
        <x:v>298.14999999999998</x:v>
      </x:c>
      <x:c r="D195" s="6">
        <x:v>1.2</x:v>
      </x:c>
      <x:c r="E195" s="7">
        <x:v>1.4850000000000001</x:v>
      </x:c>
      <x:c r="F195" s="4" t="s">
        <x:v>14</x:v>
      </x:c>
      <x:c r="G195" s="4" t="s">
        <x:v>148</x:v>
      </x:c>
      <x:c r="H195" s="4" t="s">
        <x:v>149</x:v>
      </x:c>
      <x:c r="I195" s="9" t="s">
        <x:v>278</x:v>
      </x:c>
      <x:c r="J195" s="9" t="s">
        <x:v>15</x:v>
      </x:c>
      <x:c r="K195" s="4" t="s">
        <x:v>151</x:v>
      </x:c>
      <x:c r="L195" s="9" t="s">
        <x:v>152</x:v>
      </x:c>
      <x:c r="M195" s="4"/>
    </x:row>
    <x:row r="196" ht="39.5" customHeight="1">
      <x:c r="A196" s="4" t="s">
        <x:v>289</x:v>
      </x:c>
      <x:c r="B196" s="4" t="s">
        <x:v>7</x:v>
      </x:c>
      <x:c r="C196" s="5">
        <x:v>298.14999999999998</x:v>
      </x:c>
      <x:c r="D196" s="6">
        <x:v>1.4</x:v>
      </x:c>
      <x:c r="E196" s="7">
        <x:v>1.4910000000000001</x:v>
      </x:c>
      <x:c r="F196" s="4" t="s">
        <x:v>14</x:v>
      </x:c>
      <x:c r="G196" s="4" t="s">
        <x:v>148</x:v>
      </x:c>
      <x:c r="H196" s="4" t="s">
        <x:v>149</x:v>
      </x:c>
      <x:c r="I196" s="9" t="s">
        <x:v>278</x:v>
      </x:c>
      <x:c r="J196" s="9" t="s">
        <x:v>15</x:v>
      </x:c>
      <x:c r="K196" s="4" t="s">
        <x:v>151</x:v>
      </x:c>
      <x:c r="L196" s="9" t="s">
        <x:v>152</x:v>
      </x:c>
      <x:c r="M196" s="4"/>
    </x:row>
    <x:row r="197" ht="39.5" customHeight="1">
      <x:c r="A197" s="4" t="s">
        <x:v>290</x:v>
      </x:c>
      <x:c r="B197" s="4" t="s">
        <x:v>7</x:v>
      </x:c>
      <x:c r="C197" s="5">
        <x:v>298.14999999999998</x:v>
      </x:c>
      <x:c r="D197" s="6">
        <x:v>1.6</x:v>
      </x:c>
      <x:c r="E197" s="7">
        <x:v>1.498</x:v>
      </x:c>
      <x:c r="F197" s="4" t="s">
        <x:v>14</x:v>
      </x:c>
      <x:c r="G197" s="4" t="s">
        <x:v>148</x:v>
      </x:c>
      <x:c r="H197" s="4" t="s">
        <x:v>149</x:v>
      </x:c>
      <x:c r="I197" s="9" t="s">
        <x:v>278</x:v>
      </x:c>
      <x:c r="J197" s="9" t="s">
        <x:v>15</x:v>
      </x:c>
      <x:c r="K197" s="4" t="s">
        <x:v>151</x:v>
      </x:c>
      <x:c r="L197" s="9" t="s">
        <x:v>152</x:v>
      </x:c>
      <x:c r="M197" s="4"/>
    </x:row>
    <x:row r="198" ht="39.5" customHeight="1">
      <x:c r="A198" s="4" t="s">
        <x:v>291</x:v>
      </x:c>
      <x:c r="B198" s="4" t="s">
        <x:v>7</x:v>
      </x:c>
      <x:c r="C198" s="5">
        <x:v>298.14999999999998</x:v>
      </x:c>
      <x:c r="D198" s="6">
        <x:v>1.8</x:v>
      </x:c>
      <x:c r="E198" s="7">
        <x:v>1.5069999999999999</x:v>
      </x:c>
      <x:c r="F198" s="4" t="s">
        <x:v>14</x:v>
      </x:c>
      <x:c r="G198" s="4" t="s">
        <x:v>148</x:v>
      </x:c>
      <x:c r="H198" s="4" t="s">
        <x:v>149</x:v>
      </x:c>
      <x:c r="I198" s="9" t="s">
        <x:v>278</x:v>
      </x:c>
      <x:c r="J198" s="9" t="s">
        <x:v>15</x:v>
      </x:c>
      <x:c r="K198" s="4" t="s">
        <x:v>151</x:v>
      </x:c>
      <x:c r="L198" s="9" t="s">
        <x:v>152</x:v>
      </x:c>
      <x:c r="M198" s="4"/>
    </x:row>
    <x:row r="199" ht="39.5" customHeight="1">
      <x:c r="A199" s="4" t="s">
        <x:v>292</x:v>
      </x:c>
      <x:c r="B199" s="4" t="s">
        <x:v>7</x:v>
      </x:c>
      <x:c r="C199" s="5">
        <x:v>298.14999999999998</x:v>
      </x:c>
      <x:c r="D199" s="6">
        <x:v>2</x:v>
      </x:c>
      <x:c r="E199" s="7">
        <x:v>1.516</x:v>
      </x:c>
      <x:c r="F199" s="4" t="s">
        <x:v>14</x:v>
      </x:c>
      <x:c r="G199" s="4" t="s">
        <x:v>148</x:v>
      </x:c>
      <x:c r="H199" s="4" t="s">
        <x:v>149</x:v>
      </x:c>
      <x:c r="I199" s="9" t="s">
        <x:v>278</x:v>
      </x:c>
      <x:c r="J199" s="9" t="s">
        <x:v>15</x:v>
      </x:c>
      <x:c r="K199" s="4" t="s">
        <x:v>151</x:v>
      </x:c>
      <x:c r="L199" s="9" t="s">
        <x:v>152</x:v>
      </x:c>
      <x:c r="M199" s="4"/>
    </x:row>
    <x:row r="200" ht="39.5" customHeight="1">
      <x:c r="A200" s="4" t="s">
        <x:v>293</x:v>
      </x:c>
      <x:c r="B200" s="4" t="s">
        <x:v>7</x:v>
      </x:c>
      <x:c r="C200" s="5">
        <x:v>298.14999999999998</x:v>
      </x:c>
      <x:c r="D200" s="6">
        <x:v>2.5</x:v>
      </x:c>
      <x:c r="E200" s="7">
        <x:v>1.54</x:v>
      </x:c>
      <x:c r="F200" s="4" t="s">
        <x:v>14</x:v>
      </x:c>
      <x:c r="G200" s="4" t="s">
        <x:v>148</x:v>
      </x:c>
      <x:c r="H200" s="4" t="s">
        <x:v>149</x:v>
      </x:c>
      <x:c r="I200" s="9" t="s">
        <x:v>278</x:v>
      </x:c>
      <x:c r="J200" s="9" t="s">
        <x:v>15</x:v>
      </x:c>
      <x:c r="K200" s="4" t="s">
        <x:v>151</x:v>
      </x:c>
      <x:c r="L200" s="9" t="s">
        <x:v>152</x:v>
      </x:c>
      <x:c r="M200" s="4"/>
    </x:row>
    <x:row r="201" ht="39.5" customHeight="1">
      <x:c r="A201" s="4" t="s">
        <x:v>294</x:v>
      </x:c>
      <x:c r="B201" s="4" t="s">
        <x:v>7</x:v>
      </x:c>
      <x:c r="C201" s="5">
        <x:v>298.14999999999998</x:v>
      </x:c>
      <x:c r="D201" s="6">
        <x:v>3</x:v>
      </x:c>
      <x:c r="E201" s="7">
        <x:v>1.5649999999999999</x:v>
      </x:c>
      <x:c r="F201" s="4" t="s">
        <x:v>14</x:v>
      </x:c>
      <x:c r="G201" s="4" t="s">
        <x:v>148</x:v>
      </x:c>
      <x:c r="H201" s="4" t="s">
        <x:v>149</x:v>
      </x:c>
      <x:c r="I201" s="9" t="s">
        <x:v>278</x:v>
      </x:c>
      <x:c r="J201" s="9" t="s">
        <x:v>15</x:v>
      </x:c>
      <x:c r="K201" s="4" t="s">
        <x:v>151</x:v>
      </x:c>
      <x:c r="L201" s="9" t="s">
        <x:v>152</x:v>
      </x:c>
      <x:c r="M201" s="4" t="s">
        <x:v>132</x:v>
      </x:c>
    </x:row>
    <x:row r="202" ht="39.5" customHeight="1">
      <x:c r="A202" s="4" t="s">
        <x:v>295</x:v>
      </x:c>
      <x:c r="B202" s="4" t="s">
        <x:v>7</x:v>
      </x:c>
      <x:c r="C202" s="5">
        <x:v>298.14999999999998</x:v>
      </x:c>
      <x:c r="D202" s="6">
        <x:v>3.5</x:v>
      </x:c>
      <x:c r="E202" s="7">
        <x:v>1.5840000000000001</x:v>
      </x:c>
      <x:c r="F202" s="4" t="s">
        <x:v>14</x:v>
      </x:c>
      <x:c r="G202" s="4" t="s">
        <x:v>148</x:v>
      </x:c>
      <x:c r="H202" s="4" t="s">
        <x:v>149</x:v>
      </x:c>
      <x:c r="I202" s="9" t="s">
        <x:v>278</x:v>
      </x:c>
      <x:c r="J202" s="9" t="s">
        <x:v>15</x:v>
      </x:c>
      <x:c r="K202" s="4" t="s">
        <x:v>151</x:v>
      </x:c>
      <x:c r="L202" s="9" t="s">
        <x:v>152</x:v>
      </x:c>
      <x:c r="M202" s="4"/>
    </x:row>
    <x:row r="203" ht="39.5" customHeight="1">
      <x:c r="A203" s="4" t="s">
        <x:v>296</x:v>
      </x:c>
      <x:c r="B203" s="4" t="s">
        <x:v>7</x:v>
      </x:c>
      <x:c r="C203" s="5">
        <x:v>298.14999999999998</x:v>
      </x:c>
      <x:c r="D203" s="6">
        <x:v>4</x:v>
      </x:c>
      <x:c r="E203" s="7">
        <x:v>1.5940000000000001</x:v>
      </x:c>
      <x:c r="F203" s="4" t="s">
        <x:v>14</x:v>
      </x:c>
      <x:c r="G203" s="4" t="s">
        <x:v>148</x:v>
      </x:c>
      <x:c r="H203" s="4" t="s">
        <x:v>149</x:v>
      </x:c>
      <x:c r="I203" s="9" t="s">
        <x:v>278</x:v>
      </x:c>
      <x:c r="J203" s="9" t="s">
        <x:v>15</x:v>
      </x:c>
      <x:c r="K203" s="4" t="s">
        <x:v>151</x:v>
      </x:c>
      <x:c r="L203" s="9" t="s">
        <x:v>152</x:v>
      </x:c>
      <x:c r="M203" s="4" t="s">
        <x:v>134</x:v>
      </x:c>
    </x:row>
    <x:row r="204" ht="39.5" customHeight="1">
      <x:c r="A204" s="4" t="s">
        <x:v>297</x:v>
      </x:c>
      <x:c r="B204" s="4" t="s">
        <x:v>7</x:v>
      </x:c>
      <x:c r="C204" s="5">
        <x:v>298.14999999999998</x:v>
      </x:c>
      <x:c r="D204" s="6">
        <x:v>4.5</x:v>
      </x:c>
      <x:c r="E204" s="7">
        <x:v>1.5940000000000001</x:v>
      </x:c>
      <x:c r="F204" s="4" t="s">
        <x:v>14</x:v>
      </x:c>
      <x:c r="G204" s="4" t="s">
        <x:v>148</x:v>
      </x:c>
      <x:c r="H204" s="4" t="s">
        <x:v>149</x:v>
      </x:c>
      <x:c r="I204" s="9" t="s">
        <x:v>278</x:v>
      </x:c>
      <x:c r="J204" s="9" t="s">
        <x:v>15</x:v>
      </x:c>
      <x:c r="K204" s="4" t="s">
        <x:v>151</x:v>
      </x:c>
      <x:c r="L204" s="9" t="s">
        <x:v>152</x:v>
      </x:c>
      <x:c r="M204" s="4"/>
    </x:row>
    <x:row r="205" ht="39.5" customHeight="1">
      <x:c r="A205" s="4" t="s">
        <x:v>298</x:v>
      </x:c>
      <x:c r="B205" s="4" t="s">
        <x:v>7</x:v>
      </x:c>
      <x:c r="C205" s="5">
        <x:v>298.14999999999998</x:v>
      </x:c>
      <x:c r="D205" s="6">
        <x:v>5</x:v>
      </x:c>
      <x:c r="E205" s="7">
        <x:v>1.59</x:v>
      </x:c>
      <x:c r="F205" s="4" t="s">
        <x:v>14</x:v>
      </x:c>
      <x:c r="G205" s="4" t="s">
        <x:v>148</x:v>
      </x:c>
      <x:c r="H205" s="4" t="s">
        <x:v>149</x:v>
      </x:c>
      <x:c r="I205" s="9" t="s">
        <x:v>278</x:v>
      </x:c>
      <x:c r="J205" s="9" t="s">
        <x:v>15</x:v>
      </x:c>
      <x:c r="K205" s="4" t="s">
        <x:v>151</x:v>
      </x:c>
      <x:c r="L205" s="9" t="s">
        <x:v>152</x:v>
      </x:c>
      <x:c r="M205" s="4" t="s">
        <x:v>137</x:v>
      </x:c>
    </x:row>
    <x:row r="206" ht="39.5" customHeight="1">
      <x:c r="A206" s="4" t="s">
        <x:v>299</x:v>
      </x:c>
      <x:c r="B206" s="4" t="s">
        <x:v>7</x:v>
      </x:c>
      <x:c r="C206" s="5">
        <x:v>298.14999999999998</x:v>
      </x:c>
      <x:c r="D206" s="6">
        <x:v>5.4</x:v>
      </x:c>
      <x:c r="E206" s="7">
        <x:v>1.5840000000000001</x:v>
      </x:c>
      <x:c r="F206" s="4" t="s">
        <x:v>14</x:v>
      </x:c>
      <x:c r="G206" s="4" t="s">
        <x:v>148</x:v>
      </x:c>
      <x:c r="H206" s="4" t="s">
        <x:v>149</x:v>
      </x:c>
      <x:c r="I206" s="9" t="s">
        <x:v>278</x:v>
      </x:c>
      <x:c r="J206" s="9" t="s">
        <x:v>15</x:v>
      </x:c>
      <x:c r="K206" s="4" t="s">
        <x:v>151</x:v>
      </x:c>
      <x:c r="L206" s="9" t="s">
        <x:v>152</x:v>
      </x:c>
      <x:c r="M206" s="4"/>
    </x:row>
    <x:row r="207" ht="39.5" customHeight="1">
      <x:c r="A207" s="4" t="s">
        <x:v>300</x:v>
      </x:c>
      <x:c r="B207" s="4" t="s">
        <x:v>7</x:v>
      </x:c>
      <x:c r="C207" s="5">
        <x:v>298.14999999999998</x:v>
      </x:c>
      <x:c r="D207" s="6">
        <x:v>0.5</x:v>
      </x:c>
      <x:c r="E207" s="7">
        <x:v>1.474</x:v>
      </x:c>
      <x:c r="F207" s="4" t="s">
        <x:v>8</x:v>
      </x:c>
      <x:c r="G207" s="4" t="s">
        <x:v>148</x:v>
      </x:c>
      <x:c r="H207" s="4" t="s">
        <x:v>149</x:v>
      </x:c>
      <x:c r="I207" s="9" t="s">
        <x:v>301</x:v>
      </x:c>
      <x:c r="J207" s="9" t="s">
        <x:v>9</x:v>
      </x:c>
      <x:c r="K207" s="4" t="s">
        <x:v>151</x:v>
      </x:c>
      <x:c r="L207" s="9" t="s">
        <x:v>152</x:v>
      </x:c>
      <x:c r="M207" s="4" t="s">
        <x:v>213</x:v>
      </x:c>
    </x:row>
    <x:row r="208" ht="39.5" customHeight="1">
      <x:c r="A208" s="4" t="s">
        <x:v>302</x:v>
      </x:c>
      <x:c r="B208" s="4" t="s">
        <x:v>7</x:v>
      </x:c>
      <x:c r="C208" s="5">
        <x:v>298.14999999999998</x:v>
      </x:c>
      <x:c r="D208" s="6">
        <x:v>1</x:v>
      </x:c>
      <x:c r="E208" s="7">
        <x:v>1.484</x:v>
      </x:c>
      <x:c r="F208" s="4" t="s">
        <x:v>8</x:v>
      </x:c>
      <x:c r="G208" s="4" t="s">
        <x:v>148</x:v>
      </x:c>
      <x:c r="H208" s="4" t="s">
        <x:v>149</x:v>
      </x:c>
      <x:c r="I208" s="9" t="s">
        <x:v>301</x:v>
      </x:c>
      <x:c r="J208" s="9" t="s">
        <x:v>9</x:v>
      </x:c>
      <x:c r="K208" s="4" t="s">
        <x:v>151</x:v>
      </x:c>
      <x:c r="L208" s="9" t="s">
        <x:v>152</x:v>
      </x:c>
      <x:c r="M208" s="4" t="s">
        <x:v>268</x:v>
      </x:c>
    </x:row>
    <x:row r="209" ht="39.5" customHeight="1">
      <x:c r="A209" s="4" t="s">
        <x:v>303</x:v>
      </x:c>
      <x:c r="B209" s="4" t="s">
        <x:v>7</x:v>
      </x:c>
      <x:c r="C209" s="5">
        <x:v>298.14999999999998</x:v>
      </x:c>
      <x:c r="D209" s="6">
        <x:v>1.5</x:v>
      </x:c>
      <x:c r="E209" s="7">
        <x:v>1.5009999999999999</x:v>
      </x:c>
      <x:c r="F209" s="4" t="s">
        <x:v>8</x:v>
      </x:c>
      <x:c r="G209" s="4" t="s">
        <x:v>148</x:v>
      </x:c>
      <x:c r="H209" s="4" t="s">
        <x:v>149</x:v>
      </x:c>
      <x:c r="I209" s="9" t="s">
        <x:v>301</x:v>
      </x:c>
      <x:c r="J209" s="9" t="s">
        <x:v>9</x:v>
      </x:c>
      <x:c r="K209" s="4" t="s">
        <x:v>151</x:v>
      </x:c>
      <x:c r="L209" s="9" t="s">
        <x:v>152</x:v>
      </x:c>
      <x:c r="M209" s="4" t="s">
        <x:v>270</x:v>
      </x:c>
    </x:row>
    <x:row r="210" ht="39.5" customHeight="1">
      <x:c r="A210" s="4" t="s">
        <x:v>304</x:v>
      </x:c>
      <x:c r="B210" s="4" t="s">
        <x:v>7</x:v>
      </x:c>
      <x:c r="C210" s="5">
        <x:v>298.14999999999998</x:v>
      </x:c>
      <x:c r="D210" s="6">
        <x:v>2</x:v>
      </x:c>
      <x:c r="E210" s="7">
        <x:v>1.518</x:v>
      </x:c>
      <x:c r="F210" s="4" t="s">
        <x:v>8</x:v>
      </x:c>
      <x:c r="G210" s="4" t="s">
        <x:v>148</x:v>
      </x:c>
      <x:c r="H210" s="4" t="s">
        <x:v>149</x:v>
      </x:c>
      <x:c r="I210" s="9" t="s">
        <x:v>301</x:v>
      </x:c>
      <x:c r="J210" s="9" t="s">
        <x:v>9</x:v>
      </x:c>
      <x:c r="K210" s="4" t="s">
        <x:v>151</x:v>
      </x:c>
      <x:c r="L210" s="9" t="s">
        <x:v>152</x:v>
      </x:c>
      <x:c r="M210" s="4" t="s">
        <x:v>272</x:v>
      </x:c>
    </x:row>
    <x:row r="211" ht="39.5" customHeight="1">
      <x:c r="A211" s="4" t="s">
        <x:v>305</x:v>
      </x:c>
      <x:c r="B211" s="4" t="s">
        <x:v>7</x:v>
      </x:c>
      <x:c r="C211" s="5">
        <x:v>298.14999999999998</x:v>
      </x:c>
      <x:c r="D211" s="6">
        <x:v>2.5</x:v>
      </x:c>
      <x:c r="E211" s="7">
        <x:v>1.542</x:v>
      </x:c>
      <x:c r="F211" s="4" t="s">
        <x:v>8</x:v>
      </x:c>
      <x:c r="G211" s="4" t="s">
        <x:v>148</x:v>
      </x:c>
      <x:c r="H211" s="4" t="s">
        <x:v>149</x:v>
      </x:c>
      <x:c r="I211" s="9" t="s">
        <x:v>301</x:v>
      </x:c>
      <x:c r="J211" s="9" t="s">
        <x:v>9</x:v>
      </x:c>
      <x:c r="K211" s="4" t="s">
        <x:v>151</x:v>
      </x:c>
      <x:c r="L211" s="9" t="s">
        <x:v>152</x:v>
      </x:c>
      <x:c r="M211" s="4" t="s">
        <x:v>274</x:v>
      </x:c>
    </x:row>
    <x:row r="212" ht="39.5" customHeight="1">
      <x:c r="A212" s="4" t="s">
        <x:v>306</x:v>
      </x:c>
      <x:c r="B212" s="4" t="s">
        <x:v>7</x:v>
      </x:c>
      <x:c r="C212" s="5">
        <x:v>298.14999999999998</x:v>
      </x:c>
      <x:c r="D212" s="6">
        <x:v>3</x:v>
      </x:c>
      <x:c r="E212" s="7">
        <x:v>1.5640000000000001</x:v>
      </x:c>
      <x:c r="F212" s="4" t="s">
        <x:v>8</x:v>
      </x:c>
      <x:c r="G212" s="4" t="s">
        <x:v>148</x:v>
      </x:c>
      <x:c r="H212" s="4" t="s">
        <x:v>149</x:v>
      </x:c>
      <x:c r="I212" s="9" t="s">
        <x:v>301</x:v>
      </x:c>
      <x:c r="J212" s="9" t="s">
        <x:v>9</x:v>
      </x:c>
      <x:c r="K212" s="4" t="s">
        <x:v>151</x:v>
      </x:c>
      <x:c r="L212" s="9" t="s">
        <x:v>152</x:v>
      </x:c>
      <x:c r="M212" s="4" t="s">
        <x:v>276</x:v>
      </x:c>
    </x:row>
    <x:row r="213" ht="39.5" customHeight="1">
      <x:c r="A213" s="4" t="s">
        <x:v>307</x:v>
      </x:c>
      <x:c r="B213" s="4" t="s">
        <x:v>7</x:v>
      </x:c>
      <x:c r="C213" s="5">
        <x:v>298.14999999999998</x:v>
      </x:c>
      <x:c r="D213" s="6">
        <x:v>4</x:v>
      </x:c>
      <x:c r="E213" s="7">
        <x:v>1.5940000000000001</x:v>
      </x:c>
      <x:c r="F213" s="4" t="s">
        <x:v>8</x:v>
      </x:c>
      <x:c r="G213" s="4" t="s">
        <x:v>148</x:v>
      </x:c>
      <x:c r="H213" s="4" t="s">
        <x:v>149</x:v>
      </x:c>
      <x:c r="I213" s="9" t="s">
        <x:v>301</x:v>
      </x:c>
      <x:c r="J213" s="9" t="s">
        <x:v>9</x:v>
      </x:c>
      <x:c r="K213" s="4" t="s">
        <x:v>151</x:v>
      </x:c>
      <x:c r="L213" s="9" t="s">
        <x:v>152</x:v>
      </x:c>
      <x:c r="M213" s="4" t="s">
        <x:v>134</x:v>
      </x:c>
    </x:row>
    <x:row r="214" ht="39.5" customHeight="1">
      <x:c r="A214" s="4" t="s">
        <x:v>308</x:v>
      </x:c>
      <x:c r="B214" s="4" t="s">
        <x:v>7</x:v>
      </x:c>
      <x:c r="C214" s="5">
        <x:v>298.14999999999998</x:v>
      </x:c>
      <x:c r="D214" s="6">
        <x:v>5</x:v>
      </x:c>
      <x:c r="E214" s="7">
        <x:v>1.59</x:v>
      </x:c>
      <x:c r="F214" s="4" t="s">
        <x:v>8</x:v>
      </x:c>
      <x:c r="G214" s="4" t="s">
        <x:v>148</x:v>
      </x:c>
      <x:c r="H214" s="4" t="s">
        <x:v>149</x:v>
      </x:c>
      <x:c r="I214" s="9" t="s">
        <x:v>301</x:v>
      </x:c>
      <x:c r="J214" s="9" t="s">
        <x:v>9</x:v>
      </x:c>
      <x:c r="K214" s="4" t="s">
        <x:v>151</x:v>
      </x:c>
      <x:c r="L214" s="9" t="s">
        <x:v>152</x:v>
      </x:c>
      <x:c r="M214" s="4" t="s">
        <x:v>137</x:v>
      </x:c>
    </x:row>
    <x:row r="215" ht="39.5" customHeight="1">
      <x:c r="A215" s="4" t="s">
        <x:v>309</x:v>
      </x:c>
      <x:c r="B215" s="4" t="s">
        <x:v>7</x:v>
      </x:c>
      <x:c r="C215" s="5">
        <x:v>298.14999999999998</x:v>
      </x:c>
      <x:c r="D215" s="6">
        <x:v>0.1</x:v>
      </x:c>
      <x:c r="E215" s="7">
        <x:v>1.484</x:v>
      </x:c>
      <x:c r="F215" s="4" t="s">
        <x:v>18</x:v>
      </x:c>
      <x:c r="G215" s="4" t="s">
        <x:v>148</x:v>
      </x:c>
      <x:c r="H215" s="4" t="s">
        <x:v>149</x:v>
      </x:c>
      <x:c r="I215" s="9" t="s">
        <x:v>310</x:v>
      </x:c>
      <x:c r="J215" s="9" t="s">
        <x:v>19</x:v>
      </x:c>
      <x:c r="K215" s="4" t="s">
        <x:v>151</x:v>
      </x:c>
      <x:c r="L215" s="9" t="s">
        <x:v>152</x:v>
      </x:c>
      <x:c r="M215" s="4" t="s">
        <x:v>209</x:v>
      </x:c>
    </x:row>
    <x:row r="216" ht="39.5" customHeight="1">
      <x:c r="A216" s="4" t="s">
        <x:v>311</x:v>
      </x:c>
      <x:c r="B216" s="4" t="s">
        <x:v>7</x:v>
      </x:c>
      <x:c r="C216" s="5">
        <x:v>298.14999999999998</x:v>
      </x:c>
      <x:c r="D216" s="6">
        <x:v>0.5</x:v>
      </x:c>
      <x:c r="E216" s="7">
        <x:v>1.474</x:v>
      </x:c>
      <x:c r="F216" s="4" t="s">
        <x:v>18</x:v>
      </x:c>
      <x:c r="G216" s="4" t="s">
        <x:v>148</x:v>
      </x:c>
      <x:c r="H216" s="4" t="s">
        <x:v>149</x:v>
      </x:c>
      <x:c r="I216" s="9" t="s">
        <x:v>310</x:v>
      </x:c>
      <x:c r="J216" s="9" t="s">
        <x:v>19</x:v>
      </x:c>
      <x:c r="K216" s="4" t="s">
        <x:v>151</x:v>
      </x:c>
      <x:c r="L216" s="9" t="s">
        <x:v>152</x:v>
      </x:c>
      <x:c r="M216" s="4" t="s">
        <x:v>213</x:v>
      </x:c>
    </x:row>
    <x:row r="217" ht="39.5" customHeight="1">
      <x:c r="A217" s="4" t="s">
        <x:v>312</x:v>
      </x:c>
      <x:c r="B217" s="4" t="s">
        <x:v>7</x:v>
      </x:c>
      <x:c r="C217" s="5">
        <x:v>298.14999999999998</x:v>
      </x:c>
      <x:c r="D217" s="6">
        <x:v>1</x:v>
      </x:c>
      <x:c r="E217" s="7">
        <x:v>1.4830000000000001</x:v>
      </x:c>
      <x:c r="F217" s="4" t="s">
        <x:v>18</x:v>
      </x:c>
      <x:c r="G217" s="4" t="s">
        <x:v>148</x:v>
      </x:c>
      <x:c r="H217" s="4" t="s">
        <x:v>149</x:v>
      </x:c>
      <x:c r="I217" s="9" t="s">
        <x:v>310</x:v>
      </x:c>
      <x:c r="J217" s="9" t="s">
        <x:v>19</x:v>
      </x:c>
      <x:c r="K217" s="4" t="s">
        <x:v>151</x:v>
      </x:c>
      <x:c r="L217" s="9" t="s">
        <x:v>152</x:v>
      </x:c>
      <x:c r="M217" s="4" t="s">
        <x:v>217</x:v>
      </x:c>
    </x:row>
    <x:row r="218" ht="39.5" customHeight="1">
      <x:c r="A218" s="4" t="s">
        <x:v>313</x:v>
      </x:c>
      <x:c r="B218" s="4" t="s">
        <x:v>7</x:v>
      </x:c>
      <x:c r="C218" s="5">
        <x:v>298.14999999999998</x:v>
      </x:c>
      <x:c r="D218" s="6">
        <x:v>2</x:v>
      </x:c>
      <x:c r="E218" s="7">
        <x:v>1.514</x:v>
      </x:c>
      <x:c r="F218" s="4" t="s">
        <x:v>18</x:v>
      </x:c>
      <x:c r="G218" s="4" t="s">
        <x:v>148</x:v>
      </x:c>
      <x:c r="H218" s="4" t="s">
        <x:v>149</x:v>
      </x:c>
      <x:c r="I218" s="9" t="s">
        <x:v>310</x:v>
      </x:c>
      <x:c r="J218" s="9" t="s">
        <x:v>19</x:v>
      </x:c>
      <x:c r="K218" s="4" t="s">
        <x:v>151</x:v>
      </x:c>
      <x:c r="L218" s="9" t="s">
        <x:v>152</x:v>
      </x:c>
      <x:c r="M218" s="4" t="s">
        <x:v>220</x:v>
      </x:c>
    </x:row>
    <x:row r="219" ht="39.5" customHeight="1">
      <x:c r="A219" s="4" t="s">
        <x:v>314</x:v>
      </x:c>
      <x:c r="B219" s="4" t="s">
        <x:v>7</x:v>
      </x:c>
      <x:c r="C219" s="5">
        <x:v>298.14999999999998</x:v>
      </x:c>
      <x:c r="D219" s="6">
        <x:v>3</x:v>
      </x:c>
      <x:c r="E219" s="7">
        <x:v>1.544</x:v>
      </x:c>
      <x:c r="F219" s="4" t="s">
        <x:v>18</x:v>
      </x:c>
      <x:c r="G219" s="4" t="s">
        <x:v>148</x:v>
      </x:c>
      <x:c r="H219" s="4" t="s">
        <x:v>149</x:v>
      </x:c>
      <x:c r="I219" s="9" t="s">
        <x:v>310</x:v>
      </x:c>
      <x:c r="J219" s="9" t="s">
        <x:v>19</x:v>
      </x:c>
      <x:c r="K219" s="4" t="s">
        <x:v>151</x:v>
      </x:c>
      <x:c r="L219" s="9" t="s">
        <x:v>152</x:v>
      </x:c>
      <x:c r="M219" s="4" t="s">
        <x:v>223</x:v>
      </x:c>
    </x:row>
    <x:row r="220" ht="39.5" customHeight="1">
      <x:c r="A220" s="4" t="s">
        <x:v>315</x:v>
      </x:c>
      <x:c r="B220" s="4" t="s">
        <x:v>7</x:v>
      </x:c>
      <x:c r="C220" s="5">
        <x:v>298.14999999999998</x:v>
      </x:c>
      <x:c r="D220" s="6">
        <x:v>4</x:v>
      </x:c>
      <x:c r="E220" s="7">
        <x:v>1.5840000000000001</x:v>
      </x:c>
      <x:c r="F220" s="4" t="s">
        <x:v>18</x:v>
      </x:c>
      <x:c r="G220" s="4" t="s">
        <x:v>148</x:v>
      </x:c>
      <x:c r="H220" s="4" t="s">
        <x:v>149</x:v>
      </x:c>
      <x:c r="I220" s="9" t="s">
        <x:v>310</x:v>
      </x:c>
      <x:c r="J220" s="9" t="s">
        <x:v>19</x:v>
      </x:c>
      <x:c r="K220" s="4" t="s">
        <x:v>151</x:v>
      </x:c>
      <x:c r="L220" s="9" t="s">
        <x:v>152</x:v>
      </x:c>
      <x:c r="M220" s="4" t="s">
        <x:v>226</x:v>
      </x:c>
    </x:row>
    <x:row r="221" ht="39.5" customHeight="1">
      <x:c r="A221" s="4" t="s">
        <x:v>316</x:v>
      </x:c>
      <x:c r="B221" s="4" t="s">
        <x:v>7</x:v>
      </x:c>
      <x:c r="C221" s="5">
        <x:v>298.14999999999998</x:v>
      </x:c>
      <x:c r="D221" s="6">
        <x:v>0.39069999999999999</x:v>
      </x:c>
      <x:c r="E221" s="7">
        <x:v>1.486</x:v>
      </x:c>
      <x:c r="F221" s="4" t="s">
        <x:v>10</x:v>
      </x:c>
      <x:c r="G221" s="4" t="s">
        <x:v>148</x:v>
      </x:c>
      <x:c r="H221" s="4" t="s">
        <x:v>149</x:v>
      </x:c>
      <x:c r="I221" s="9" t="s">
        <x:v>317</x:v>
      </x:c>
      <x:c r="J221" s="9" t="s">
        <x:v>11</x:v>
      </x:c>
      <x:c r="K221" s="4" t="s">
        <x:v>151</x:v>
      </x:c>
      <x:c r="L221" s="9" t="s">
        <x:v>152</x:v>
      </x:c>
      <x:c r="M221" s="4"/>
    </x:row>
    <x:row r="222" ht="39.5" customHeight="1">
      <x:c r="A222" s="4" t="s">
        <x:v>318</x:v>
      </x:c>
      <x:c r="B222" s="4" t="s">
        <x:v>7</x:v>
      </x:c>
      <x:c r="C222" s="5">
        <x:v>298.14999999999998</x:v>
      </x:c>
      <x:c r="D222" s="6">
        <x:v>1.1313</x:v>
      </x:c>
      <x:c r="E222" s="7">
        <x:v>1.47</x:v>
      </x:c>
      <x:c r="F222" s="4" t="s">
        <x:v>10</x:v>
      </x:c>
      <x:c r="G222" s="4" t="s">
        <x:v>148</x:v>
      </x:c>
      <x:c r="H222" s="4" t="s">
        <x:v>149</x:v>
      </x:c>
      <x:c r="I222" s="9" t="s">
        <x:v>317</x:v>
      </x:c>
      <x:c r="J222" s="9" t="s">
        <x:v>11</x:v>
      </x:c>
      <x:c r="K222" s="4" t="s">
        <x:v>151</x:v>
      </x:c>
      <x:c r="L222" s="9" t="s">
        <x:v>152</x:v>
      </x:c>
      <x:c r="M222" s="4"/>
    </x:row>
    <x:row r="223" ht="39.5" customHeight="1">
      <x:c r="A223" s="4" t="s">
        <x:v>319</x:v>
      </x:c>
      <x:c r="B223" s="4" t="s">
        <x:v>7</x:v>
      </x:c>
      <x:c r="C223" s="5">
        <x:v>308.14999999999998</x:v>
      </x:c>
      <x:c r="D223" s="6">
        <x:v>7.9200000000000007E-2</x:v>
      </x:c>
      <x:c r="E223" s="7">
        <x:v>1.8819999999999999</x:v>
      </x:c>
      <x:c r="F223" s="4" t="s">
        <x:v>30</x:v>
      </x:c>
      <x:c r="G223" s="4" t="s">
        <x:v>148</x:v>
      </x:c>
      <x:c r="H223" s="4" t="s">
        <x:v>149</x:v>
      </x:c>
      <x:c r="I223" s="9" t="s">
        <x:v>150</x:v>
      </x:c>
      <x:c r="J223" s="9" t="s">
        <x:v>31</x:v>
      </x:c>
      <x:c r="K223" s="4" t="s">
        <x:v>151</x:v>
      </x:c>
      <x:c r="L223" s="9" t="s">
        <x:v>152</x:v>
      </x:c>
      <x:c r="M223" s="4"/>
    </x:row>
    <x:row r="224" ht="39.5" customHeight="1">
      <x:c r="A224" s="4" t="s">
        <x:v>320</x:v>
      </x:c>
      <x:c r="B224" s="4" t="s">
        <x:v>7</x:v>
      </x:c>
      <x:c r="C224" s="5">
        <x:v>308.14999999999998</x:v>
      </x:c>
      <x:c r="D224" s="6">
        <x:v>9.9099999999999994E-2</x:v>
      </x:c>
      <x:c r="E224" s="7">
        <x:v>1.8839999999999999</x:v>
      </x:c>
      <x:c r="F224" s="4" t="s">
        <x:v>30</x:v>
      </x:c>
      <x:c r="G224" s="4" t="s">
        <x:v>148</x:v>
      </x:c>
      <x:c r="H224" s="4" t="s">
        <x:v>149</x:v>
      </x:c>
      <x:c r="I224" s="9" t="s">
        <x:v>150</x:v>
      </x:c>
      <x:c r="J224" s="9" t="s">
        <x:v>31</x:v>
      </x:c>
      <x:c r="K224" s="4" t="s">
        <x:v>151</x:v>
      </x:c>
      <x:c r="L224" s="9" t="s">
        <x:v>152</x:v>
      </x:c>
      <x:c r="M224" s="4"/>
    </x:row>
    <x:row r="225" ht="39.5" customHeight="1">
      <x:c r="A225" s="4" t="s">
        <x:v>321</x:v>
      </x:c>
      <x:c r="B225" s="4" t="s">
        <x:v>7</x:v>
      </x:c>
      <x:c r="C225" s="5">
        <x:v>308.14999999999998</x:v>
      </x:c>
      <x:c r="D225" s="6">
        <x:v>0.14760000000000001</x:v>
      </x:c>
      <x:c r="E225" s="7">
        <x:v>1.8720000000000001</x:v>
      </x:c>
      <x:c r="F225" s="4" t="s">
        <x:v>30</x:v>
      </x:c>
      <x:c r="G225" s="4" t="s">
        <x:v>148</x:v>
      </x:c>
      <x:c r="H225" s="4" t="s">
        <x:v>149</x:v>
      </x:c>
      <x:c r="I225" s="9" t="s">
        <x:v>150</x:v>
      </x:c>
      <x:c r="J225" s="9" t="s">
        <x:v>31</x:v>
      </x:c>
      <x:c r="K225" s="4" t="s">
        <x:v>151</x:v>
      </x:c>
      <x:c r="L225" s="9" t="s">
        <x:v>152</x:v>
      </x:c>
      <x:c r="M225" s="4"/>
    </x:row>
    <x:row r="226" ht="39.5" customHeight="1">
      <x:c r="A226" s="4" t="s">
        <x:v>322</x:v>
      </x:c>
      <x:c r="B226" s="4" t="s">
        <x:v>7</x:v>
      </x:c>
      <x:c r="C226" s="5">
        <x:v>308.14999999999998</x:v>
      </x:c>
      <x:c r="D226" s="6">
        <x:v>0.18690000000000001</x:v>
      </x:c>
      <x:c r="E226" s="7">
        <x:v>1.863</x:v>
      </x:c>
      <x:c r="F226" s="4" t="s">
        <x:v>30</x:v>
      </x:c>
      <x:c r="G226" s="4" t="s">
        <x:v>148</x:v>
      </x:c>
      <x:c r="H226" s="4" t="s">
        <x:v>149</x:v>
      </x:c>
      <x:c r="I226" s="9" t="s">
        <x:v>150</x:v>
      </x:c>
      <x:c r="J226" s="9" t="s">
        <x:v>31</x:v>
      </x:c>
      <x:c r="K226" s="4" t="s">
        <x:v>151</x:v>
      </x:c>
      <x:c r="L226" s="9" t="s">
        <x:v>152</x:v>
      </x:c>
      <x:c r="M226" s="4"/>
    </x:row>
    <x:row r="227" ht="39.5" customHeight="1">
      <x:c r="A227" s="4" t="s">
        <x:v>323</x:v>
      </x:c>
      <x:c r="B227" s="4" t="s">
        <x:v>7</x:v>
      </x:c>
      <x:c r="C227" s="5">
        <x:v>308.14999999999998</x:v>
      </x:c>
      <x:c r="D227" s="6">
        <x:v>0.19769999999999999</x:v>
      </x:c>
      <x:c r="E227" s="7">
        <x:v>1.865</x:v>
      </x:c>
      <x:c r="F227" s="4" t="s">
        <x:v>30</x:v>
      </x:c>
      <x:c r="G227" s="4" t="s">
        <x:v>148</x:v>
      </x:c>
      <x:c r="H227" s="4" t="s">
        <x:v>149</x:v>
      </x:c>
      <x:c r="I227" s="9" t="s">
        <x:v>150</x:v>
      </x:c>
      <x:c r="J227" s="9" t="s">
        <x:v>31</x:v>
      </x:c>
      <x:c r="K227" s="4" t="s">
        <x:v>151</x:v>
      </x:c>
      <x:c r="L227" s="9" t="s">
        <x:v>152</x:v>
      </x:c>
      <x:c r="M227" s="4"/>
    </x:row>
    <x:row r="228" ht="39.5" customHeight="1">
      <x:c r="A228" s="4" t="s">
        <x:v>324</x:v>
      </x:c>
      <x:c r="B228" s="4" t="s">
        <x:v>7</x:v>
      </x:c>
      <x:c r="C228" s="5">
        <x:v>308.14999999999998</x:v>
      </x:c>
      <x:c r="D228" s="6">
        <x:v>0.29649999999999999</x:v>
      </x:c>
      <x:c r="E228" s="7">
        <x:v>1.857</x:v>
      </x:c>
      <x:c r="F228" s="4" t="s">
        <x:v>30</x:v>
      </x:c>
      <x:c r="G228" s="4" t="s">
        <x:v>148</x:v>
      </x:c>
      <x:c r="H228" s="4" t="s">
        <x:v>149</x:v>
      </x:c>
      <x:c r="I228" s="9" t="s">
        <x:v>150</x:v>
      </x:c>
      <x:c r="J228" s="9" t="s">
        <x:v>31</x:v>
      </x:c>
      <x:c r="K228" s="4" t="s">
        <x:v>151</x:v>
      </x:c>
      <x:c r="L228" s="9" t="s">
        <x:v>152</x:v>
      </x:c>
      <x:c r="M228" s="4"/>
    </x:row>
    <x:row r="229" ht="39.5" customHeight="1">
      <x:c r="A229" s="4" t="s">
        <x:v>325</x:v>
      </x:c>
      <x:c r="B229" s="4" t="s">
        <x:v>7</x:v>
      </x:c>
      <x:c r="C229" s="5">
        <x:v>308.14999999999998</x:v>
      </x:c>
      <x:c r="D229" s="6">
        <x:v>0.39460000000000001</x:v>
      </x:c>
      <x:c r="E229" s="7">
        <x:v>1.8560000000000001</x:v>
      </x:c>
      <x:c r="F229" s="4" t="s">
        <x:v>30</x:v>
      </x:c>
      <x:c r="G229" s="4" t="s">
        <x:v>148</x:v>
      </x:c>
      <x:c r="H229" s="4" t="s">
        <x:v>149</x:v>
      </x:c>
      <x:c r="I229" s="9" t="s">
        <x:v>150</x:v>
      </x:c>
      <x:c r="J229" s="9" t="s">
        <x:v>31</x:v>
      </x:c>
      <x:c r="K229" s="4" t="s">
        <x:v>151</x:v>
      </x:c>
      <x:c r="L229" s="9" t="s">
        <x:v>152</x:v>
      </x:c>
      <x:c r="M229" s="4"/>
    </x:row>
    <x:row r="230" ht="39.5" customHeight="1">
      <x:c r="A230" s="4" t="s">
        <x:v>326</x:v>
      </x:c>
      <x:c r="B230" s="4" t="s">
        <x:v>7</x:v>
      </x:c>
      <x:c r="C230" s="5">
        <x:v>308.14999999999998</x:v>
      </x:c>
      <x:c r="D230" s="6">
        <x:v>0.49220000000000003</x:v>
      </x:c>
      <x:c r="E230" s="7">
        <x:v>1.8580000000000001</x:v>
      </x:c>
      <x:c r="F230" s="4" t="s">
        <x:v>30</x:v>
      </x:c>
      <x:c r="G230" s="4" t="s">
        <x:v>148</x:v>
      </x:c>
      <x:c r="H230" s="4" t="s">
        <x:v>149</x:v>
      </x:c>
      <x:c r="I230" s="9" t="s">
        <x:v>150</x:v>
      </x:c>
      <x:c r="J230" s="9" t="s">
        <x:v>31</x:v>
      </x:c>
      <x:c r="K230" s="4" t="s">
        <x:v>151</x:v>
      </x:c>
      <x:c r="L230" s="9" t="s">
        <x:v>152</x:v>
      </x:c>
      <x:c r="M230" s="4"/>
    </x:row>
    <x:row r="231" ht="39.5" customHeight="1">
      <x:c r="A231" s="4" t="s">
        <x:v>327</x:v>
      </x:c>
      <x:c r="B231" s="4" t="s">
        <x:v>7</x:v>
      </x:c>
      <x:c r="C231" s="5">
        <x:v>308.14999999999998</x:v>
      </x:c>
      <x:c r="D231" s="6">
        <x:v>0.59419999999999995</x:v>
      </x:c>
      <x:c r="E231" s="7">
        <x:v>1.86</x:v>
      </x:c>
      <x:c r="F231" s="4" t="s">
        <x:v>30</x:v>
      </x:c>
      <x:c r="G231" s="4" t="s">
        <x:v>148</x:v>
      </x:c>
      <x:c r="H231" s="4" t="s">
        <x:v>149</x:v>
      </x:c>
      <x:c r="I231" s="9" t="s">
        <x:v>150</x:v>
      </x:c>
      <x:c r="J231" s="9" t="s">
        <x:v>31</x:v>
      </x:c>
      <x:c r="K231" s="4" t="s">
        <x:v>151</x:v>
      </x:c>
      <x:c r="L231" s="9" t="s">
        <x:v>152</x:v>
      </x:c>
      <x:c r="M231" s="4"/>
    </x:row>
    <x:row r="232" ht="39.5" customHeight="1">
      <x:c r="A232" s="4" t="s">
        <x:v>328</x:v>
      </x:c>
      <x:c r="B232" s="4" t="s">
        <x:v>7</x:v>
      </x:c>
      <x:c r="C232" s="5">
        <x:v>308.14999999999998</x:v>
      </x:c>
      <x:c r="D232" s="6">
        <x:v>0.97519999999999996</x:v>
      </x:c>
      <x:c r="E232" s="7">
        <x:v>1.87</x:v>
      </x:c>
      <x:c r="F232" s="4" t="s">
        <x:v>30</x:v>
      </x:c>
      <x:c r="G232" s="4" t="s">
        <x:v>148</x:v>
      </x:c>
      <x:c r="H232" s="4" t="s">
        <x:v>149</x:v>
      </x:c>
      <x:c r="I232" s="9" t="s">
        <x:v>150</x:v>
      </x:c>
      <x:c r="J232" s="9" t="s">
        <x:v>31</x:v>
      </x:c>
      <x:c r="K232" s="4" t="s">
        <x:v>151</x:v>
      </x:c>
      <x:c r="L232" s="9" t="s">
        <x:v>152</x:v>
      </x:c>
      <x:c r="M232" s="4"/>
    </x:row>
    <x:row r="233" ht="39.5" customHeight="1">
      <x:c r="A233" s="4" t="s">
        <x:v>329</x:v>
      </x:c>
      <x:c r="B233" s="4" t="s">
        <x:v>7</x:v>
      </x:c>
      <x:c r="C233" s="5">
        <x:v>308.14999999999998</x:v>
      </x:c>
      <x:c r="D233" s="6">
        <x:v>1.4482999999999999</x:v>
      </x:c>
      <x:c r="E233" s="7">
        <x:v>1.891</x:v>
      </x:c>
      <x:c r="F233" s="4" t="s">
        <x:v>30</x:v>
      </x:c>
      <x:c r="G233" s="4" t="s">
        <x:v>148</x:v>
      </x:c>
      <x:c r="H233" s="4" t="s">
        <x:v>149</x:v>
      </x:c>
      <x:c r="I233" s="9" t="s">
        <x:v>150</x:v>
      </x:c>
      <x:c r="J233" s="9" t="s">
        <x:v>31</x:v>
      </x:c>
      <x:c r="K233" s="4" t="s">
        <x:v>151</x:v>
      </x:c>
      <x:c r="L233" s="9" t="s">
        <x:v>152</x:v>
      </x:c>
      <x:c r="M233" s="4"/>
    </x:row>
    <x:row r="234" ht="39.5" customHeight="1">
      <x:c r="A234" s="4" t="s">
        <x:v>330</x:v>
      </x:c>
      <x:c r="B234" s="4" t="s">
        <x:v>7</x:v>
      </x:c>
      <x:c r="C234" s="5">
        <x:v>308.14999999999998</x:v>
      </x:c>
      <x:c r="D234" s="6">
        <x:v>1.9123000000000001</x:v>
      </x:c>
      <x:c r="E234" s="7">
        <x:v>1.913</x:v>
      </x:c>
      <x:c r="F234" s="4" t="s">
        <x:v>30</x:v>
      </x:c>
      <x:c r="G234" s="4" t="s">
        <x:v>148</x:v>
      </x:c>
      <x:c r="H234" s="4" t="s">
        <x:v>149</x:v>
      </x:c>
      <x:c r="I234" s="9" t="s">
        <x:v>150</x:v>
      </x:c>
      <x:c r="J234" s="9" t="s">
        <x:v>31</x:v>
      </x:c>
      <x:c r="K234" s="4" t="s">
        <x:v>151</x:v>
      </x:c>
      <x:c r="L234" s="9" t="s">
        <x:v>152</x:v>
      </x:c>
      <x:c r="M234" s="4"/>
    </x:row>
    <x:row r="235" ht="39.5" customHeight="1">
      <x:c r="A235" s="4" t="s">
        <x:v>331</x:v>
      </x:c>
      <x:c r="B235" s="4" t="s">
        <x:v>7</x:v>
      </x:c>
      <x:c r="C235" s="5">
        <x:v>308.14999999999998</x:v>
      </x:c>
      <x:c r="D235" s="6">
        <x:v>2.8098999999999998</x:v>
      </x:c>
      <x:c r="E235" s="7">
        <x:v>1.958</x:v>
      </x:c>
      <x:c r="F235" s="4" t="s">
        <x:v>30</x:v>
      </x:c>
      <x:c r="G235" s="4" t="s">
        <x:v>148</x:v>
      </x:c>
      <x:c r="H235" s="4" t="s">
        <x:v>149</x:v>
      </x:c>
      <x:c r="I235" s="9" t="s">
        <x:v>150</x:v>
      </x:c>
      <x:c r="J235" s="9" t="s">
        <x:v>31</x:v>
      </x:c>
      <x:c r="K235" s="4" t="s">
        <x:v>151</x:v>
      </x:c>
      <x:c r="L235" s="9" t="s">
        <x:v>152</x:v>
      </x:c>
      <x:c r="M235" s="4"/>
    </x:row>
    <x:row r="236" ht="39.5" customHeight="1">
      <x:c r="A236" s="4" t="s">
        <x:v>332</x:v>
      </x:c>
      <x:c r="B236" s="4" t="s">
        <x:v>7</x:v>
      </x:c>
      <x:c r="C236" s="5">
        <x:v>308.14999999999998</x:v>
      </x:c>
      <x:c r="D236" s="6">
        <x:v>3.2452000000000001</x:v>
      </x:c>
      <x:c r="E236" s="7">
        <x:v>1.976</x:v>
      </x:c>
      <x:c r="F236" s="4" t="s">
        <x:v>30</x:v>
      </x:c>
      <x:c r="G236" s="4" t="s">
        <x:v>148</x:v>
      </x:c>
      <x:c r="H236" s="4" t="s">
        <x:v>149</x:v>
      </x:c>
      <x:c r="I236" s="9" t="s">
        <x:v>150</x:v>
      </x:c>
      <x:c r="J236" s="9" t="s">
        <x:v>31</x:v>
      </x:c>
      <x:c r="K236" s="4" t="s">
        <x:v>151</x:v>
      </x:c>
      <x:c r="L236" s="9" t="s">
        <x:v>152</x:v>
      </x:c>
      <x:c r="M236" s="4"/>
    </x:row>
    <x:row r="237" ht="39.5" customHeight="1">
      <x:c r="A237" s="4" t="s">
        <x:v>333</x:v>
      </x:c>
      <x:c r="B237" s="4" t="s">
        <x:v>7</x:v>
      </x:c>
      <x:c r="C237" s="5">
        <x:v>308.14999999999998</x:v>
      </x:c>
      <x:c r="D237" s="6">
        <x:v>3.6785000000000001</x:v>
      </x:c>
      <x:c r="E237" s="7">
        <x:v>1.992</x:v>
      </x:c>
      <x:c r="F237" s="4" t="s">
        <x:v>30</x:v>
      </x:c>
      <x:c r="G237" s="4" t="s">
        <x:v>148</x:v>
      </x:c>
      <x:c r="H237" s="4" t="s">
        <x:v>149</x:v>
      </x:c>
      <x:c r="I237" s="9" t="s">
        <x:v>150</x:v>
      </x:c>
      <x:c r="J237" s="9" t="s">
        <x:v>31</x:v>
      </x:c>
      <x:c r="K237" s="4" t="s">
        <x:v>151</x:v>
      </x:c>
      <x:c r="L237" s="9" t="s">
        <x:v>152</x:v>
      </x:c>
      <x:c r="M237" s="4"/>
    </x:row>
    <x:row r="238" ht="39.5" customHeight="1">
      <x:c r="A238" s="4" t="s">
        <x:v>334</x:v>
      </x:c>
      <x:c r="B238" s="4" t="s">
        <x:v>7</x:v>
      </x:c>
      <x:c r="C238" s="5">
        <x:v>308.14999999999998</x:v>
      </x:c>
      <x:c r="D238" s="6">
        <x:v>4.0858999999999996</x:v>
      </x:c>
      <x:c r="E238" s="7">
        <x:v>1.9990000000000001</x:v>
      </x:c>
      <x:c r="F238" s="4" t="s">
        <x:v>30</x:v>
      </x:c>
      <x:c r="G238" s="4" t="s">
        <x:v>148</x:v>
      </x:c>
      <x:c r="H238" s="4" t="s">
        <x:v>149</x:v>
      </x:c>
      <x:c r="I238" s="9" t="s">
        <x:v>150</x:v>
      </x:c>
      <x:c r="J238" s="9" t="s">
        <x:v>31</x:v>
      </x:c>
      <x:c r="K238" s="4" t="s">
        <x:v>151</x:v>
      </x:c>
      <x:c r="L238" s="9" t="s">
        <x:v>152</x:v>
      </x:c>
      <x:c r="M238" s="4"/>
    </x:row>
    <x:row r="239" ht="39.5" customHeight="1">
      <x:c r="A239" s="4" t="s">
        <x:v>335</x:v>
      </x:c>
      <x:c r="B239" s="4" t="s">
        <x:v>7</x:v>
      </x:c>
      <x:c r="C239" s="5">
        <x:v>308.14999999999998</x:v>
      </x:c>
      <x:c r="D239" s="6">
        <x:v>4.4939</x:v>
      </x:c>
      <x:c r="E239" s="7">
        <x:v>1.9890000000000001</x:v>
      </x:c>
      <x:c r="F239" s="4" t="s">
        <x:v>30</x:v>
      </x:c>
      <x:c r="G239" s="4" t="s">
        <x:v>148</x:v>
      </x:c>
      <x:c r="H239" s="4" t="s">
        <x:v>149</x:v>
      </x:c>
      <x:c r="I239" s="9" t="s">
        <x:v>150</x:v>
      </x:c>
      <x:c r="J239" s="9" t="s">
        <x:v>31</x:v>
      </x:c>
      <x:c r="K239" s="4" t="s">
        <x:v>151</x:v>
      </x:c>
      <x:c r="L239" s="9" t="s">
        <x:v>152</x:v>
      </x:c>
      <x:c r="M239" s="4"/>
    </x:row>
    <x:row r="240" ht="39.5" customHeight="1">
      <x:c r="A240" s="4" t="s">
        <x:v>336</x:v>
      </x:c>
      <x:c r="B240" s="4" t="s">
        <x:v>7</x:v>
      </x:c>
      <x:c r="C240" s="5">
        <x:v>308.14999999999998</x:v>
      </x:c>
      <x:c r="D240" s="6">
        <x:v>4.9386000000000001</x:v>
      </x:c>
      <x:c r="E240" s="7">
        <x:v>1.9750000000000001</x:v>
      </x:c>
      <x:c r="F240" s="4" t="s">
        <x:v>30</x:v>
      </x:c>
      <x:c r="G240" s="4" t="s">
        <x:v>148</x:v>
      </x:c>
      <x:c r="H240" s="4" t="s">
        <x:v>149</x:v>
      </x:c>
      <x:c r="I240" s="9" t="s">
        <x:v>150</x:v>
      </x:c>
      <x:c r="J240" s="9" t="s">
        <x:v>31</x:v>
      </x:c>
      <x:c r="K240" s="4" t="s">
        <x:v>151</x:v>
      </x:c>
      <x:c r="L240" s="9" t="s">
        <x:v>152</x:v>
      </x:c>
      <x:c r="M240" s="4"/>
    </x:row>
    <x:row r="241" ht="39.5" customHeight="1">
      <x:c r="A241" s="4" t="s">
        <x:v>337</x:v>
      </x:c>
      <x:c r="B241" s="4" t="s">
        <x:v>7</x:v>
      </x:c>
      <x:c r="C241" s="5">
        <x:v>323.14999999999998</x:v>
      </x:c>
      <x:c r="D241" s="6">
        <x:v>0.1966</x:v>
      </x:c>
      <x:c r="E241" s="7">
        <x:v>2.532</x:v>
      </x:c>
      <x:c r="F241" s="4" t="s">
        <x:v>30</x:v>
      </x:c>
      <x:c r="G241" s="4" t="s">
        <x:v>148</x:v>
      </x:c>
      <x:c r="H241" s="4" t="s">
        <x:v>149</x:v>
      </x:c>
      <x:c r="I241" s="9" t="s">
        <x:v>150</x:v>
      </x:c>
      <x:c r="J241" s="9" t="s">
        <x:v>31</x:v>
      </x:c>
      <x:c r="K241" s="4" t="s">
        <x:v>151</x:v>
      </x:c>
      <x:c r="L241" s="9" t="s">
        <x:v>152</x:v>
      </x:c>
      <x:c r="M241" s="4"/>
    </x:row>
    <x:row r="242" ht="39.5" customHeight="1">
      <x:c r="A242" s="4" t="s">
        <x:v>338</x:v>
      </x:c>
      <x:c r="B242" s="4" t="s">
        <x:v>7</x:v>
      </x:c>
      <x:c r="C242" s="5">
        <x:v>323.14999999999998</x:v>
      </x:c>
      <x:c r="D242" s="6">
        <x:v>0.2944</x:v>
      </x:c>
      <x:c r="E242" s="7">
        <x:v>2.52</x:v>
      </x:c>
      <x:c r="F242" s="4" t="s">
        <x:v>30</x:v>
      </x:c>
      <x:c r="G242" s="4" t="s">
        <x:v>148</x:v>
      </x:c>
      <x:c r="H242" s="4" t="s">
        <x:v>149</x:v>
      </x:c>
      <x:c r="I242" s="9" t="s">
        <x:v>150</x:v>
      </x:c>
      <x:c r="J242" s="9" t="s">
        <x:v>31</x:v>
      </x:c>
      <x:c r="K242" s="4" t="s">
        <x:v>151</x:v>
      </x:c>
      <x:c r="L242" s="9" t="s">
        <x:v>152</x:v>
      </x:c>
      <x:c r="M242" s="4"/>
    </x:row>
    <x:row r="243" ht="39.5" customHeight="1">
      <x:c r="A243" s="4" t="s">
        <x:v>339</x:v>
      </x:c>
      <x:c r="B243" s="4" t="s">
        <x:v>7</x:v>
      </x:c>
      <x:c r="C243" s="5">
        <x:v>323.14999999999998</x:v>
      </x:c>
      <x:c r="D243" s="6">
        <x:v>0.41699999999999998</x:v>
      </x:c>
      <x:c r="E243" s="7">
        <x:v>2.5089999999999999</x:v>
      </x:c>
      <x:c r="F243" s="4" t="s">
        <x:v>30</x:v>
      </x:c>
      <x:c r="G243" s="4" t="s">
        <x:v>148</x:v>
      </x:c>
      <x:c r="H243" s="4" t="s">
        <x:v>149</x:v>
      </x:c>
      <x:c r="I243" s="9" t="s">
        <x:v>150</x:v>
      </x:c>
      <x:c r="J243" s="9" t="s">
        <x:v>31</x:v>
      </x:c>
      <x:c r="K243" s="4" t="s">
        <x:v>151</x:v>
      </x:c>
      <x:c r="L243" s="9" t="s">
        <x:v>152</x:v>
      </x:c>
      <x:c r="M243" s="4"/>
    </x:row>
    <x:row r="244" ht="39.5" customHeight="1">
      <x:c r="A244" s="4" t="s">
        <x:v>340</x:v>
      </x:c>
      <x:c r="B244" s="4" t="s">
        <x:v>7</x:v>
      </x:c>
      <x:c r="C244" s="5">
        <x:v>323.14999999999998</x:v>
      </x:c>
      <x:c r="D244" s="6">
        <x:v>0.56899999999999995</x:v>
      </x:c>
      <x:c r="E244" s="7">
        <x:v>2.5099999999999998</x:v>
      </x:c>
      <x:c r="F244" s="4" t="s">
        <x:v>30</x:v>
      </x:c>
      <x:c r="G244" s="4" t="s">
        <x:v>148</x:v>
      </x:c>
      <x:c r="H244" s="4" t="s">
        <x:v>149</x:v>
      </x:c>
      <x:c r="I244" s="9" t="s">
        <x:v>150</x:v>
      </x:c>
      <x:c r="J244" s="9" t="s">
        <x:v>31</x:v>
      </x:c>
      <x:c r="K244" s="4" t="s">
        <x:v>151</x:v>
      </x:c>
      <x:c r="L244" s="9" t="s">
        <x:v>152</x:v>
      </x:c>
      <x:c r="M244" s="4"/>
    </x:row>
    <x:row r="245" ht="39.5" customHeight="1">
      <x:c r="A245" s="4" t="s">
        <x:v>341</x:v>
      </x:c>
      <x:c r="B245" s="4" t="s">
        <x:v>7</x:v>
      </x:c>
      <x:c r="C245" s="5">
        <x:v>323.14999999999998</x:v>
      </x:c>
      <x:c r="D245" s="6">
        <x:v>0.60829999999999995</x:v>
      </x:c>
      <x:c r="E245" s="7">
        <x:v>2.5099999999999998</x:v>
      </x:c>
      <x:c r="F245" s="4" t="s">
        <x:v>30</x:v>
      </x:c>
      <x:c r="G245" s="4" t="s">
        <x:v>148</x:v>
      </x:c>
      <x:c r="H245" s="4" t="s">
        <x:v>149</x:v>
      </x:c>
      <x:c r="I245" s="9" t="s">
        <x:v>150</x:v>
      </x:c>
      <x:c r="J245" s="9" t="s">
        <x:v>31</x:v>
      </x:c>
      <x:c r="K245" s="4" t="s">
        <x:v>151</x:v>
      </x:c>
      <x:c r="L245" s="9" t="s">
        <x:v>152</x:v>
      </x:c>
      <x:c r="M245" s="4"/>
    </x:row>
    <x:row r="246" ht="39.5" customHeight="1">
      <x:c r="A246" s="4" t="s">
        <x:v>342</x:v>
      </x:c>
      <x:c r="B246" s="4" t="s">
        <x:v>7</x:v>
      </x:c>
      <x:c r="C246" s="5">
        <x:v>323.14999999999998</x:v>
      </x:c>
      <x:c r="D246" s="6">
        <x:v>0.74260000000000004</x:v>
      </x:c>
      <x:c r="E246" s="7">
        <x:v>2.5129999999999999</x:v>
      </x:c>
      <x:c r="F246" s="4" t="s">
        <x:v>30</x:v>
      </x:c>
      <x:c r="G246" s="4" t="s">
        <x:v>148</x:v>
      </x:c>
      <x:c r="H246" s="4" t="s">
        <x:v>149</x:v>
      </x:c>
      <x:c r="I246" s="9" t="s">
        <x:v>150</x:v>
      </x:c>
      <x:c r="J246" s="9" t="s">
        <x:v>31</x:v>
      </x:c>
      <x:c r="K246" s="4" t="s">
        <x:v>151</x:v>
      </x:c>
      <x:c r="L246" s="9" t="s">
        <x:v>152</x:v>
      </x:c>
      <x:c r="M246" s="4"/>
    </x:row>
    <x:row r="247" ht="39.5" customHeight="1">
      <x:c r="A247" s="4" t="s">
        <x:v>343</x:v>
      </x:c>
      <x:c r="B247" s="4" t="s">
        <x:v>7</x:v>
      </x:c>
      <x:c r="C247" s="5">
        <x:v>323.14999999999998</x:v>
      </x:c>
      <x:c r="D247" s="6">
        <x:v>0.96899999999999997</x:v>
      </x:c>
      <x:c r="E247" s="7">
        <x:v>2.52</x:v>
      </x:c>
      <x:c r="F247" s="4" t="s">
        <x:v>30</x:v>
      </x:c>
      <x:c r="G247" s="4" t="s">
        <x:v>148</x:v>
      </x:c>
      <x:c r="H247" s="4" t="s">
        <x:v>149</x:v>
      </x:c>
      <x:c r="I247" s="9" t="s">
        <x:v>150</x:v>
      </x:c>
      <x:c r="J247" s="9" t="s">
        <x:v>31</x:v>
      </x:c>
      <x:c r="K247" s="4" t="s">
        <x:v>151</x:v>
      </x:c>
      <x:c r="L247" s="9" t="s">
        <x:v>152</x:v>
      </x:c>
      <x:c r="M247" s="4"/>
    </x:row>
    <x:row r="248" ht="39.5" customHeight="1">
      <x:c r="A248" s="4" t="s">
        <x:v>344</x:v>
      </x:c>
      <x:c r="B248" s="4" t="s">
        <x:v>7</x:v>
      </x:c>
      <x:c r="C248" s="5">
        <x:v>323.14999999999998</x:v>
      </x:c>
      <x:c r="D248" s="6">
        <x:v>1.4393</x:v>
      </x:c>
      <x:c r="E248" s="7">
        <x:v>2.5430000000000001</x:v>
      </x:c>
      <x:c r="F248" s="4" t="s">
        <x:v>30</x:v>
      </x:c>
      <x:c r="G248" s="4" t="s">
        <x:v>148</x:v>
      </x:c>
      <x:c r="H248" s="4" t="s">
        <x:v>149</x:v>
      </x:c>
      <x:c r="I248" s="9" t="s">
        <x:v>150</x:v>
      </x:c>
      <x:c r="J248" s="9" t="s">
        <x:v>31</x:v>
      </x:c>
      <x:c r="K248" s="4" t="s">
        <x:v>151</x:v>
      </x:c>
      <x:c r="L248" s="9" t="s">
        <x:v>152</x:v>
      </x:c>
      <x:c r="M248" s="4"/>
    </x:row>
    <x:row r="249" ht="39.5" customHeight="1">
      <x:c r="A249" s="4" t="s">
        <x:v>345</x:v>
      </x:c>
      <x:c r="B249" s="4" t="s">
        <x:v>7</x:v>
      </x:c>
      <x:c r="C249" s="5">
        <x:v>323.14999999999998</x:v>
      </x:c>
      <x:c r="D249" s="6">
        <x:v>1.8991</x:v>
      </x:c>
      <x:c r="E249" s="7">
        <x:v>2.5649999999999999</x:v>
      </x:c>
      <x:c r="F249" s="4" t="s">
        <x:v>30</x:v>
      </x:c>
      <x:c r="G249" s="4" t="s">
        <x:v>148</x:v>
      </x:c>
      <x:c r="H249" s="4" t="s">
        <x:v>149</x:v>
      </x:c>
      <x:c r="I249" s="9" t="s">
        <x:v>150</x:v>
      </x:c>
      <x:c r="J249" s="9" t="s">
        <x:v>31</x:v>
      </x:c>
      <x:c r="K249" s="4" t="s">
        <x:v>151</x:v>
      </x:c>
      <x:c r="L249" s="9" t="s">
        <x:v>152</x:v>
      </x:c>
      <x:c r="M249" s="4"/>
    </x:row>
    <x:row r="250" ht="39.5" customHeight="1">
      <x:c r="A250" s="4" t="s">
        <x:v>346</x:v>
      </x:c>
      <x:c r="B250" s="4" t="s">
        <x:v>7</x:v>
      </x:c>
      <x:c r="C250" s="5">
        <x:v>323.14999999999998</x:v>
      </x:c>
      <x:c r="D250" s="6">
        <x:v>2.3504999999999998</x:v>
      </x:c>
      <x:c r="E250" s="7">
        <x:v>2.5870000000000002</x:v>
      </x:c>
      <x:c r="F250" s="4" t="s">
        <x:v>30</x:v>
      </x:c>
      <x:c r="G250" s="4" t="s">
        <x:v>148</x:v>
      </x:c>
      <x:c r="H250" s="4" t="s">
        <x:v>149</x:v>
      </x:c>
      <x:c r="I250" s="9" t="s">
        <x:v>150</x:v>
      </x:c>
      <x:c r="J250" s="9" t="s">
        <x:v>31</x:v>
      </x:c>
      <x:c r="K250" s="4" t="s">
        <x:v>151</x:v>
      </x:c>
      <x:c r="L250" s="9" t="s">
        <x:v>152</x:v>
      </x:c>
      <x:c r="M250" s="4"/>
    </x:row>
    <x:row r="251" ht="39.5" customHeight="1">
      <x:c r="A251" s="4" t="s">
        <x:v>347</x:v>
      </x:c>
      <x:c r="B251" s="4" t="s">
        <x:v>7</x:v>
      </x:c>
      <x:c r="C251" s="5">
        <x:v>323.14999999999998</x:v>
      </x:c>
      <x:c r="D251" s="6">
        <x:v>2.7911999999999999</x:v>
      </x:c>
      <x:c r="E251" s="7">
        <x:v>2.61</x:v>
      </x:c>
      <x:c r="F251" s="4" t="s">
        <x:v>30</x:v>
      </x:c>
      <x:c r="G251" s="4" t="s">
        <x:v>148</x:v>
      </x:c>
      <x:c r="H251" s="4" t="s">
        <x:v>149</x:v>
      </x:c>
      <x:c r="I251" s="9" t="s">
        <x:v>150</x:v>
      </x:c>
      <x:c r="J251" s="9" t="s">
        <x:v>31</x:v>
      </x:c>
      <x:c r="K251" s="4" t="s">
        <x:v>151</x:v>
      </x:c>
      <x:c r="L251" s="9" t="s">
        <x:v>152</x:v>
      </x:c>
      <x:c r="M251" s="4"/>
    </x:row>
    <x:row r="252" ht="39.5" customHeight="1">
      <x:c r="A252" s="4" t="s">
        <x:v>348</x:v>
      </x:c>
      <x:c r="B252" s="4" t="s">
        <x:v>7</x:v>
      </x:c>
      <x:c r="C252" s="5">
        <x:v>323.14999999999998</x:v>
      </x:c>
      <x:c r="D252" s="6">
        <x:v>3.1568999999999998</x:v>
      </x:c>
      <x:c r="E252" s="7">
        <x:v>2.6309999999999998</x:v>
      </x:c>
      <x:c r="F252" s="4" t="s">
        <x:v>30</x:v>
      </x:c>
      <x:c r="G252" s="4" t="s">
        <x:v>148</x:v>
      </x:c>
      <x:c r="H252" s="4" t="s">
        <x:v>149</x:v>
      </x:c>
      <x:c r="I252" s="9" t="s">
        <x:v>150</x:v>
      </x:c>
      <x:c r="J252" s="9" t="s">
        <x:v>31</x:v>
      </x:c>
      <x:c r="K252" s="4" t="s">
        <x:v>151</x:v>
      </x:c>
      <x:c r="L252" s="9" t="s">
        <x:v>152</x:v>
      </x:c>
      <x:c r="M252" s="4"/>
    </x:row>
    <x:row r="253" ht="39.5" customHeight="1">
      <x:c r="A253" s="4" t="s">
        <x:v>349</x:v>
      </x:c>
      <x:c r="B253" s="4" t="s">
        <x:v>7</x:v>
      </x:c>
      <x:c r="C253" s="5">
        <x:v>323.14999999999998</x:v>
      </x:c>
      <x:c r="D253" s="6">
        <x:v>3.6488</x:v>
      </x:c>
      <x:c r="E253" s="7">
        <x:v>2.6589999999999998</x:v>
      </x:c>
      <x:c r="F253" s="4" t="s">
        <x:v>30</x:v>
      </x:c>
      <x:c r="G253" s="4" t="s">
        <x:v>148</x:v>
      </x:c>
      <x:c r="H253" s="4" t="s">
        <x:v>149</x:v>
      </x:c>
      <x:c r="I253" s="9" t="s">
        <x:v>150</x:v>
      </x:c>
      <x:c r="J253" s="9" t="s">
        <x:v>31</x:v>
      </x:c>
      <x:c r="K253" s="4" t="s">
        <x:v>151</x:v>
      </x:c>
      <x:c r="L253" s="9" t="s">
        <x:v>152</x:v>
      </x:c>
      <x:c r="M253" s="4"/>
    </x:row>
    <x:row r="254" ht="39.5" customHeight="1">
      <x:c r="A254" s="4" t="s">
        <x:v>350</x:v>
      </x:c>
      <x:c r="B254" s="4" t="s">
        <x:v>7</x:v>
      </x:c>
      <x:c r="C254" s="5">
        <x:v>323.14999999999998</x:v>
      </x:c>
      <x:c r="D254" s="6">
        <x:v>3.6663000000000001</x:v>
      </x:c>
      <x:c r="E254" s="7">
        <x:v>2.661</x:v>
      </x:c>
      <x:c r="F254" s="4" t="s">
        <x:v>30</x:v>
      </x:c>
      <x:c r="G254" s="4" t="s">
        <x:v>148</x:v>
      </x:c>
      <x:c r="H254" s="4" t="s">
        <x:v>149</x:v>
      </x:c>
      <x:c r="I254" s="9" t="s">
        <x:v>150</x:v>
      </x:c>
      <x:c r="J254" s="9" t="s">
        <x:v>31</x:v>
      </x:c>
      <x:c r="K254" s="4" t="s">
        <x:v>151</x:v>
      </x:c>
      <x:c r="L254" s="9" t="s">
        <x:v>152</x:v>
      </x:c>
      <x:c r="M254" s="4"/>
    </x:row>
    <x:row r="255" ht="39.5" customHeight="1">
      <x:c r="A255" s="4" t="s">
        <x:v>351</x:v>
      </x:c>
      <x:c r="B255" s="4" t="s">
        <x:v>7</x:v>
      </x:c>
      <x:c r="C255" s="5">
        <x:v>323.14999999999998</x:v>
      </x:c>
      <x:c r="D255" s="6">
        <x:v>4.0574000000000003</x:v>
      </x:c>
      <x:c r="E255" s="7">
        <x:v>2.66</x:v>
      </x:c>
      <x:c r="F255" s="4" t="s">
        <x:v>30</x:v>
      </x:c>
      <x:c r="G255" s="4" t="s">
        <x:v>148</x:v>
      </x:c>
      <x:c r="H255" s="4" t="s">
        <x:v>149</x:v>
      </x:c>
      <x:c r="I255" s="9" t="s">
        <x:v>150</x:v>
      </x:c>
      <x:c r="J255" s="9" t="s">
        <x:v>31</x:v>
      </x:c>
      <x:c r="K255" s="4" t="s">
        <x:v>151</x:v>
      </x:c>
      <x:c r="L255" s="9" t="s">
        <x:v>152</x:v>
      </x:c>
      <x:c r="M255" s="4"/>
    </x:row>
    <x:row r="256" ht="39.5" customHeight="1">
      <x:c r="A256" s="4" t="s">
        <x:v>352</x:v>
      </x:c>
      <x:c r="B256" s="4" t="s">
        <x:v>7</x:v>
      </x:c>
      <x:c r="C256" s="5">
        <x:v>323.14999999999998</x:v>
      </x:c>
      <x:c r="D256" s="6">
        <x:v>4.8600000000000003</x:v>
      </x:c>
      <x:c r="E256" s="7">
        <x:v>2.6459999999999999</x:v>
      </x:c>
      <x:c r="F256" s="4" t="s">
        <x:v>30</x:v>
      </x:c>
      <x:c r="G256" s="4" t="s">
        <x:v>148</x:v>
      </x:c>
      <x:c r="H256" s="4" t="s">
        <x:v>149</x:v>
      </x:c>
      <x:c r="I256" s="9" t="s">
        <x:v>150</x:v>
      </x:c>
      <x:c r="J256" s="9" t="s">
        <x:v>31</x:v>
      </x:c>
      <x:c r="K256" s="4" t="s">
        <x:v>151</x:v>
      </x:c>
      <x:c r="L256" s="9" t="s">
        <x:v>152</x:v>
      </x:c>
      <x:c r="M256" s="4"/>
    </x:row>
    <x:row r="257" ht="39.5" customHeight="1">
      <x:c r="A257" s="4" t="s">
        <x:v>353</x:v>
      </x:c>
      <x:c r="B257" s="4" t="s">
        <x:v>7</x:v>
      </x:c>
      <x:c r="C257" s="5">
        <x:v>323.14999999999998</x:v>
      </x:c>
      <x:c r="D257" s="6">
        <x:v>4.8604000000000003</x:v>
      </x:c>
      <x:c r="E257" s="7">
        <x:v>2.6440000000000001</x:v>
      </x:c>
      <x:c r="F257" s="4" t="s">
        <x:v>30</x:v>
      </x:c>
      <x:c r="G257" s="4" t="s">
        <x:v>148</x:v>
      </x:c>
      <x:c r="H257" s="4" t="s">
        <x:v>149</x:v>
      </x:c>
      <x:c r="I257" s="9" t="s">
        <x:v>150</x:v>
      </x:c>
      <x:c r="J257" s="9" t="s">
        <x:v>31</x:v>
      </x:c>
      <x:c r="K257" s="4" t="s">
        <x:v>151</x:v>
      </x:c>
      <x:c r="L257" s="9" t="s">
        <x:v>152</x:v>
      </x:c>
      <x:c r="M257" s="4"/>
    </x:row>
  </x:sheetData>
  <x:conditionalFormatting sqref="A2:M257">
    <x:cfRule type="expression" dxfId="11" priority="1">
      <x:formula>MOD(ROW(),2)=0</x:formula>
    </x:cfRule>
  </x:conditionalFormatting>
  <x:conditionalFormatting sqref="L2:L257">
    <x:cfRule type="containsText" dxfId="10" priority="2" operator="containsText" text="exclude"/>
    <x:cfRule type="containsText" dxfId="9" priority="3" operator="containsText" text="conditional"/>
    <x:cfRule type="containsText" dxfId="8" priority="4" operator="containsText" text="eligible"/>
  </x:conditionalFormatting>
  <x:pageMargins left="0.7" right="0.7" top="0.75" bottom="0.75" header="0.3" footer="0.3"/>
  <x:tableParts count="1">
    <x:tablePart xmlns:r="http://schemas.openxmlformats.org/officeDocument/2006/relationships" r:id="R7373a9be26094d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32.5" customWidth="1"/>
    <x:col min="3" max="3" width="18" customWidth="1"/>
    <x:col min="4" max="4" width="13.75" customWidth="1"/>
    <x:col min="5" max="7" width="32.5" customWidth="1"/>
    <x:col min="8" max="9" width="42.5" customWidth="1"/>
    <x:col min="10" max="11" width="32.5" customWidth="1"/>
  </x:cols>
  <x:sheetData>
    <x:row r="1" ht="28.5" customHeight="1">
      <x:c r="A1" s="1" t="s">
        <x:v>47</x:v>
      </x:c>
      <x:c r="B1" s="2" t="s">
        <x:v>5</x:v>
      </x:c>
      <x:c r="C1" s="2" t="s">
        <x:v>46</x:v>
      </x:c>
      <x:c r="D1" s="2" t="s">
        <x:v>40</x:v>
      </x:c>
      <x:c r="E1" s="2" t="s">
        <x:v>354</x:v>
      </x:c>
      <x:c r="F1" s="2" t="s">
        <x:v>355</x:v>
      </x:c>
      <x:c r="G1" s="2" t="s">
        <x:v>356</x:v>
      </x:c>
      <x:c r="H1" s="2" t="s">
        <x:v>48</x:v>
      </x:c>
      <x:c r="I1" s="2" t="s">
        <x:v>6</x:v>
      </x:c>
      <x:c r="J1" s="2" t="s">
        <x:v>357</x:v>
      </x:c>
      <x:c r="K1" s="3" t="s">
        <x:v>358</x:v>
      </x:c>
    </x:row>
    <x:row r="2" ht="26.399999618530273" customHeight="1">
      <x:c r="A2" s="4" t="s">
        <x:v>149</x:v>
      </x:c>
      <x:c r="B2" s="4" t="s">
        <x:v>8</x:v>
      </x:c>
      <x:c r="C2" s="4" t="s">
        <x:v>148</x:v>
      </x:c>
      <x:c r="D2" s="8">
        <x:v>8</x:v>
      </x:c>
      <x:c r="E2" s="4" t="s">
        <x:v>359</x:v>
      </x:c>
      <x:c r="F2" s="4" t="s">
        <x:v>360</x:v>
      </x:c>
      <x:c r="G2" s="4" t="s">
        <x:v>361</x:v>
      </x:c>
      <x:c r="H2" s="9" t="s">
        <x:v>301</x:v>
      </x:c>
      <x:c r="I2" s="9" t="s">
        <x:v>9</x:v>
      </x:c>
      <x:c r="J2" s="9" t="s">
        <x:v>362</x:v>
      </x:c>
      <x:c r="K2" s="9" t="s">
        <x:v>152</x:v>
      </x:c>
    </x:row>
    <x:row r="3" ht="26.399999618530273" customHeight="1">
      <x:c r="A3" s="4" t="s">
        <x:v>149</x:v>
      </x:c>
      <x:c r="B3" s="4" t="s">
        <x:v>10</x:v>
      </x:c>
      <x:c r="C3" s="4" t="s">
        <x:v>148</x:v>
      </x:c>
      <x:c r="D3" s="8">
        <x:v>2</x:v>
      </x:c>
      <x:c r="E3" s="4" t="s">
        <x:v>359</x:v>
      </x:c>
      <x:c r="F3" s="4" t="s">
        <x:v>360</x:v>
      </x:c>
      <x:c r="G3" s="4" t="s">
        <x:v>361</x:v>
      </x:c>
      <x:c r="H3" s="9" t="s">
        <x:v>317</x:v>
      </x:c>
      <x:c r="I3" s="9" t="s">
        <x:v>11</x:v>
      </x:c>
      <x:c r="J3" s="9" t="s">
        <x:v>362</x:v>
      </x:c>
      <x:c r="K3" s="9" t="s">
        <x:v>152</x:v>
      </x:c>
    </x:row>
    <x:row r="4" ht="26.399999618530273" customHeight="1">
      <x:c r="A4" s="4" t="s">
        <x:v>149</x:v>
      </x:c>
      <x:c r="B4" s="4" t="s">
        <x:v>12</x:v>
      </x:c>
      <x:c r="C4" s="4" t="s">
        <x:v>148</x:v>
      </x:c>
      <x:c r="D4" s="8">
        <x:v>10</x:v>
      </x:c>
      <x:c r="E4" s="4" t="s">
        <x:v>359</x:v>
      </x:c>
      <x:c r="F4" s="4" t="s">
        <x:v>360</x:v>
      </x:c>
      <x:c r="G4" s="4" t="s">
        <x:v>361</x:v>
      </x:c>
      <x:c r="H4" s="9" t="s">
        <x:v>241</x:v>
      </x:c>
      <x:c r="I4" s="9" t="s">
        <x:v>13</x:v>
      </x:c>
      <x:c r="J4" s="9" t="s">
        <x:v>362</x:v>
      </x:c>
      <x:c r="K4" s="9" t="s">
        <x:v>152</x:v>
      </x:c>
    </x:row>
    <x:row r="5" ht="26.399999618530273" customHeight="1">
      <x:c r="A5" s="4" t="s">
        <x:v>149</x:v>
      </x:c>
      <x:c r="B5" s="4" t="s">
        <x:v>14</x:v>
      </x:c>
      <x:c r="C5" s="4" t="s">
        <x:v>148</x:v>
      </x:c>
      <x:c r="D5" s="8">
        <x:v>22</x:v>
      </x:c>
      <x:c r="E5" s="4" t="s">
        <x:v>359</x:v>
      </x:c>
      <x:c r="F5" s="4" t="s">
        <x:v>360</x:v>
      </x:c>
      <x:c r="G5" s="4" t="s">
        <x:v>361</x:v>
      </x:c>
      <x:c r="H5" s="9" t="s">
        <x:v>278</x:v>
      </x:c>
      <x:c r="I5" s="9" t="s">
        <x:v>15</x:v>
      </x:c>
      <x:c r="J5" s="9" t="s">
        <x:v>362</x:v>
      </x:c>
      <x:c r="K5" s="9" t="s">
        <x:v>152</x:v>
      </x:c>
    </x:row>
    <x:row r="6" ht="26.399999618530273" customHeight="1">
      <x:c r="A6" s="4" t="s">
        <x:v>149</x:v>
      </x:c>
      <x:c r="B6" s="4" t="s">
        <x:v>16</x:v>
      </x:c>
      <x:c r="C6" s="4" t="s">
        <x:v>148</x:v>
      </x:c>
      <x:c r="D6" s="8">
        <x:v>11</x:v>
      </x:c>
      <x:c r="E6" s="4" t="s">
        <x:v>359</x:v>
      </x:c>
      <x:c r="F6" s="4" t="s">
        <x:v>360</x:v>
      </x:c>
      <x:c r="G6" s="4" t="s">
        <x:v>361</x:v>
      </x:c>
      <x:c r="H6" s="9" t="s">
        <x:v>228</x:v>
      </x:c>
      <x:c r="I6" s="9" t="s">
        <x:v>17</x:v>
      </x:c>
      <x:c r="J6" s="9" t="s">
        <x:v>362</x:v>
      </x:c>
      <x:c r="K6" s="9" t="s">
        <x:v>152</x:v>
      </x:c>
    </x:row>
    <x:row r="7" ht="26.399999618530273" customHeight="1">
      <x:c r="A7" s="4" t="s">
        <x:v>149</x:v>
      </x:c>
      <x:c r="B7" s="4" t="s">
        <x:v>18</x:v>
      </x:c>
      <x:c r="C7" s="4" t="s">
        <x:v>148</x:v>
      </x:c>
      <x:c r="D7" s="8">
        <x:v>6</x:v>
      </x:c>
      <x:c r="E7" s="4" t="s">
        <x:v>359</x:v>
      </x:c>
      <x:c r="F7" s="4" t="s">
        <x:v>360</x:v>
      </x:c>
      <x:c r="G7" s="4" t="s">
        <x:v>361</x:v>
      </x:c>
      <x:c r="H7" s="9" t="s">
        <x:v>310</x:v>
      </x:c>
      <x:c r="I7" s="9" t="s">
        <x:v>19</x:v>
      </x:c>
      <x:c r="J7" s="9" t="s">
        <x:v>362</x:v>
      </x:c>
      <x:c r="K7" s="9" t="s">
        <x:v>152</x:v>
      </x:c>
    </x:row>
    <x:row r="8" ht="26.399999618530273" customHeight="1">
      <x:c r="A8" s="4" t="s">
        <x:v>149</x:v>
      </x:c>
      <x:c r="B8" s="4" t="s">
        <x:v>20</x:v>
      </x:c>
      <x:c r="C8" s="4" t="s">
        <x:v>148</x:v>
      </x:c>
      <x:c r="D8" s="8">
        <x:v>15</x:v>
      </x:c>
      <x:c r="E8" s="4" t="s">
        <x:v>359</x:v>
      </x:c>
      <x:c r="F8" s="4" t="s">
        <x:v>360</x:v>
      </x:c>
      <x:c r="G8" s="4" t="s">
        <x:v>361</x:v>
      </x:c>
      <x:c r="H8" s="9" t="s">
        <x:v>257</x:v>
      </x:c>
      <x:c r="I8" s="9" t="s">
        <x:v>21</x:v>
      </x:c>
      <x:c r="J8" s="9" t="s">
        <x:v>362</x:v>
      </x:c>
      <x:c r="K8" s="9" t="s">
        <x:v>152</x:v>
      </x:c>
    </x:row>
    <x:row r="9" ht="26.399999618530273" customHeight="1">
      <x:c r="A9" s="4" t="s">
        <x:v>149</x:v>
      </x:c>
      <x:c r="B9" s="4" t="s">
        <x:v>22</x:v>
      </x:c>
      <x:c r="C9" s="4" t="s">
        <x:v>148</x:v>
      </x:c>
      <x:c r="D9" s="8">
        <x:v>4</x:v>
      </x:c>
      <x:c r="E9" s="4" t="s">
        <x:v>359</x:v>
      </x:c>
      <x:c r="F9" s="4" t="s">
        <x:v>360</x:v>
      </x:c>
      <x:c r="G9" s="4" t="s">
        <x:v>361</x:v>
      </x:c>
      <x:c r="H9" s="9" t="s">
        <x:v>252</x:v>
      </x:c>
      <x:c r="I9" s="9" t="s">
        <x:v>23</x:v>
      </x:c>
      <x:c r="J9" s="9" t="s">
        <x:v>362</x:v>
      </x:c>
      <x:c r="K9" s="9" t="s">
        <x:v>152</x:v>
      </x:c>
    </x:row>
    <x:row r="10" ht="26.399999618530273" customHeight="1">
      <x:c r="A10" s="4" t="s">
        <x:v>149</x:v>
      </x:c>
      <x:c r="B10" s="4" t="s">
        <x:v>24</x:v>
      </x:c>
      <x:c r="C10" s="4" t="s">
        <x:v>148</x:v>
      </x:c>
      <x:c r="D10" s="8">
        <x:v>15</x:v>
      </x:c>
      <x:c r="E10" s="4" t="s">
        <x:v>359</x:v>
      </x:c>
      <x:c r="F10" s="4" t="s">
        <x:v>360</x:v>
      </x:c>
      <x:c r="G10" s="4" t="s">
        <x:v>361</x:v>
      </x:c>
      <x:c r="H10" s="9" t="s">
        <x:v>167</x:v>
      </x:c>
      <x:c r="I10" s="9" t="s">
        <x:v>25</x:v>
      </x:c>
      <x:c r="J10" s="9" t="s">
        <x:v>362</x:v>
      </x:c>
      <x:c r="K10" s="9" t="s">
        <x:v>152</x:v>
      </x:c>
    </x:row>
    <x:row r="11" ht="26.399999618530273" customHeight="1">
      <x:c r="A11" s="4" t="s">
        <x:v>149</x:v>
      </x:c>
      <x:c r="B11" s="4" t="s">
        <x:v>26</x:v>
      </x:c>
      <x:c r="C11" s="4" t="s">
        <x:v>148</x:v>
      </x:c>
      <x:c r="D11" s="8">
        <x:v>13</x:v>
      </x:c>
      <x:c r="E11" s="4" t="s">
        <x:v>359</x:v>
      </x:c>
      <x:c r="F11" s="4" t="s">
        <x:v>360</x:v>
      </x:c>
      <x:c r="G11" s="4" t="s">
        <x:v>361</x:v>
      </x:c>
      <x:c r="H11" s="9" t="s">
        <x:v>207</x:v>
      </x:c>
      <x:c r="I11" s="9" t="s">
        <x:v>27</x:v>
      </x:c>
      <x:c r="J11" s="9" t="s">
        <x:v>362</x:v>
      </x:c>
      <x:c r="K11" s="9" t="s">
        <x:v>152</x:v>
      </x:c>
    </x:row>
    <x:row r="12" ht="26.399999618530273" customHeight="1">
      <x:c r="A12" s="4" t="s">
        <x:v>149</x:v>
      </x:c>
      <x:c r="B12" s="4" t="s">
        <x:v>28</x:v>
      </x:c>
      <x:c r="C12" s="4" t="s">
        <x:v>148</x:v>
      </x:c>
      <x:c r="D12" s="8">
        <x:v>3</x:v>
      </x:c>
      <x:c r="E12" s="4" t="s">
        <x:v>359</x:v>
      </x:c>
      <x:c r="F12" s="4" t="s">
        <x:v>360</x:v>
      </x:c>
      <x:c r="G12" s="4" t="s">
        <x:v>361</x:v>
      </x:c>
      <x:c r="H12" s="9" t="s">
        <x:v>203</x:v>
      </x:c>
      <x:c r="I12" s="9" t="s">
        <x:v>29</x:v>
      </x:c>
      <x:c r="J12" s="9" t="s">
        <x:v>362</x:v>
      </x:c>
      <x:c r="K12" s="9" t="s">
        <x:v>152</x:v>
      </x:c>
    </x:row>
    <x:row r="13" ht="26.399999618530273" customHeight="1">
      <x:c r="A13" s="4" t="s">
        <x:v>149</x:v>
      </x:c>
      <x:c r="B13" s="4" t="s">
        <x:v>30</x:v>
      </x:c>
      <x:c r="C13" s="4" t="s">
        <x:v>148</x:v>
      </x:c>
      <x:c r="D13" s="8">
        <x:v>69</x:v>
      </x:c>
      <x:c r="E13" s="4" t="s">
        <x:v>359</x:v>
      </x:c>
      <x:c r="F13" s="4" t="s">
        <x:v>360</x:v>
      </x:c>
      <x:c r="G13" s="4" t="s">
        <x:v>361</x:v>
      </x:c>
      <x:c r="H13" s="9" t="s">
        <x:v>150</x:v>
      </x:c>
      <x:c r="I13" s="9" t="s">
        <x:v>31</x:v>
      </x:c>
      <x:c r="J13" s="9" t="s">
        <x:v>362</x:v>
      </x:c>
      <x:c r="K13" s="9" t="s">
        <x:v>152</x:v>
      </x:c>
    </x:row>
    <x:row r="14" ht="26.399999618530273" customHeight="1">
      <x:c r="A14" s="4" t="s">
        <x:v>85</x:v>
      </x:c>
      <x:c r="B14" s="4" t="s">
        <x:v>32</x:v>
      </x:c>
      <x:c r="C14" s="4" t="s">
        <x:v>84</x:v>
      </x:c>
      <x:c r="D14" s="8">
        <x:v>1</x:v>
      </x:c>
      <x:c r="E14" s="4" t="s">
        <x:v>363</x:v>
      </x:c>
      <x:c r="F14" s="4" t="s">
        <x:v>364</x:v>
      </x:c>
      <x:c r="G14" s="4" t="s">
        <x:v>365</x:v>
      </x:c>
      <x:c r="H14" s="9" t="s">
        <x:v>86</x:v>
      </x:c>
      <x:c r="I14" s="9" t="s">
        <x:v>33</x:v>
      </x:c>
      <x:c r="J14" s="9" t="s">
        <x:v>366</x:v>
      </x:c>
      <x:c r="K14" s="9" t="s">
        <x:v>88</x:v>
      </x:c>
    </x:row>
    <x:row r="15" ht="52.75" customHeight="1">
      <x:c r="A15" s="4" t="s">
        <x:v>90</x:v>
      </x:c>
      <x:c r="B15" s="4" t="s">
        <x:v>34</x:v>
      </x:c>
      <x:c r="C15" s="4" t="s">
        <x:v>53</x:v>
      </x:c>
      <x:c r="D15" s="8">
        <x:v>31</x:v>
      </x:c>
      <x:c r="E15" s="4" t="s">
        <x:v>367</x:v>
      </x:c>
      <x:c r="F15" s="4" t="s">
        <x:v>368</x:v>
      </x:c>
      <x:c r="G15" s="4" t="s">
        <x:v>369</x:v>
      </x:c>
      <x:c r="H15" s="9" t="s">
        <x:v>91</x:v>
      </x:c>
      <x:c r="I15" s="9" t="s">
        <x:v>35</x:v>
      </x:c>
      <x:c r="J15" s="9" t="s">
        <x:v>370</x:v>
      </x:c>
      <x:c r="K15" s="9" t="s">
        <x:v>57</x:v>
      </x:c>
    </x:row>
    <x:row r="16" ht="26.399999618530273" customHeight="1">
      <x:c r="A16" s="4" t="s">
        <x:v>54</x:v>
      </x:c>
      <x:c r="B16" s="4" t="s">
        <x:v>36</x:v>
      </x:c>
      <x:c r="C16" s="4" t="s">
        <x:v>53</x:v>
      </x:c>
      <x:c r="D16" s="8">
        <x:v>26</x:v>
      </x:c>
      <x:c r="E16" s="4" t="s">
        <x:v>371</x:v>
      </x:c>
      <x:c r="F16" s="4" t="s">
        <x:v>372</x:v>
      </x:c>
      <x:c r="G16" s="4" t="s">
        <x:v>373</x:v>
      </x:c>
      <x:c r="H16" s="9" t="s">
        <x:v>55</x:v>
      </x:c>
      <x:c r="I16" s="9" t="s">
        <x:v>37</x:v>
      </x:c>
      <x:c r="J16" s="9" t="s">
        <x:v>370</x:v>
      </x:c>
      <x:c r="K16" s="9" t="s">
        <x:v>57</x:v>
      </x:c>
    </x:row>
    <x:row r="17" ht="66" customHeight="1">
      <x:c r="A17" s="4" t="s">
        <x:v>114</x:v>
      </x:c>
      <x:c r="B17" s="4" t="s">
        <x:v>38</x:v>
      </x:c>
      <x:c r="C17" s="4" t="s">
        <x:v>53</x:v>
      </x:c>
      <x:c r="D17" s="8">
        <x:v>20</x:v>
      </x:c>
      <x:c r="E17" s="4" t="s">
        <x:v>374</x:v>
      </x:c>
      <x:c r="F17" s="4" t="s">
        <x:v>375</x:v>
      </x:c>
      <x:c r="G17" s="4" t="s">
        <x:v>376</x:v>
      </x:c>
      <x:c r="H17" s="9" t="s">
        <x:v>115</x:v>
      </x:c>
      <x:c r="I17" s="9" t="s">
        <x:v>39</x:v>
      </x:c>
      <x:c r="J17" s="9" t="s">
        <x:v>370</x:v>
      </x:c>
      <x:c r="K17" s="9" t="s">
        <x:v>57</x:v>
      </x:c>
    </x:row>
  </x:sheetData>
  <x:conditionalFormatting sqref="A2:K17">
    <x:cfRule type="expression" dxfId="7" priority="1">
      <x:formula>MOD(ROW(),2)=0</x:formula>
    </x:cfRule>
  </x:conditionalFormatting>
  <x:conditionalFormatting sqref="J2:J17">
    <x:cfRule type="containsText" dxfId="6" priority="2" operator="containsText" text="exclude"/>
    <x:cfRule type="containsText" dxfId="5" priority="3" operator="containsText" text="conditional"/>
    <x:cfRule type="containsText" dxfId="4" priority="4" operator="containsText" text="eligible"/>
  </x:conditionalFormatting>
  <x:conditionalFormatting sqref="K2:K17">
    <x:cfRule type="containsText" dxfId="3" priority="5" operator="containsText" text="exclude"/>
    <x:cfRule type="containsText" dxfId="2" priority="6" operator="containsText" text="conditional"/>
    <x:cfRule type="containsText" dxfId="1" priority="7" operator="containsText" text="eligible"/>
  </x:conditionalFormatting>
  <x:pageMargins left="0.7" right="0.7" top="0.75" bottom="0.75" header="0.3" footer="0.3"/>
  <x:tableParts count="1">
    <x:tablePart xmlns:r="http://schemas.openxmlformats.org/officeDocument/2006/relationships" r:id="R3d6ba4d71b674d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1.25" customWidth="1"/>
    <x:col min="2" max="2" width="35" customWidth="1"/>
    <x:col min="3" max="3" width="75" customWidth="1"/>
  </x:cols>
  <x:sheetData>
    <x:row r="1" ht="33.5" customHeight="1">
      <x:c r="A1" s="11" t="s">
        <x:v>377</x:v>
      </x:c>
      <x:c r="B1" s="11"/>
      <x:c r="C1" s="11"/>
    </x:row>
    <x:row r="2" ht="39.5" customHeight="1">
      <x:c r="A2" s="12" t="s">
        <x:v>378</x:v>
      </x:c>
      <x:c r="B2" s="12" t="s">
        <x:v>379</x:v>
      </x:c>
      <x:c r="C2" s="12"/>
    </x:row>
    <x:row r="3" ht="15" customHeight="1">
      <x:c r="A3" s="12"/>
      <x:c r="B3" s="12"/>
      <x:c r="C3" s="12"/>
    </x:row>
    <x:row r="4" ht="15" customHeight="1">
      <x:c r="A4" s="10" t="s">
        <x:v>380</x:v>
      </x:c>
      <x:c r="B4" s="10" t="s">
        <x:v>381</x:v>
      </x:c>
      <x:c r="C4" s="10" t="s">
        <x:v>382</x:v>
      </x:c>
    </x:row>
    <x:row r="5" ht="15" customHeight="1">
      <x:c r="A5" s="12" t="s">
        <x:v>383</x:v>
      </x:c>
      <x:c r="B5" s="12" t="n">
        <x:f>COUNTA(Confirmed_Records!$A$2:$A$257)</x:f>
        <x:v>256</x:v>
      </x:c>
      <x:c r="C5" s="12" t="s">
        <x:v>384</x:v>
      </x:c>
    </x:row>
    <x:row r="6" ht="15" customHeight="1">
      <x:c r="A6" s="12" t="s">
        <x:v>385</x:v>
      </x:c>
      <x:c r="B6" s="12" t="n">
        <x:f>COUNTA(Lineage_Summary!$B$2:$B$17)</x:f>
        <x:v>16</x:v>
      </x:c>
      <x:c r="C6" s="12" t="s">
        <x:v>386</x:v>
      </x:c>
    </x:row>
    <x:row r="7" ht="15" customHeight="1">
      <x:c r="A7" s="12" t="s">
        <x:v>387</x:v>
      </x:c>
      <x:c r="B7" s="12" t="n">
        <x:f>COUNTIF(Audit_Detail!$L$2:$L$257,"exclude_from_experimental_train_test")</x:f>
        <x:v>1</x:v>
      </x:c>
      <x:c r="C7" s="12" t="s">
        <x:v>388</x:v>
      </x:c>
    </x:row>
    <x:row r="8" ht="15" customHeight="1">
      <x:c r="A8" s="12" t="s">
        <x:v>389</x:v>
      </x:c>
      <x:c r="B8" s="12" t="n">
        <x:f>COUNTIF(Audit_Detail!$L$2:$L$257,"conditional_nonconfirmatory_only_pending_original_paper_audit")</x:f>
        <x:v>178</x:v>
      </x:c>
      <x:c r="C8" s="12" t="s">
        <x:v>390</x:v>
      </x:c>
    </x:row>
    <x:row r="9" ht="15" customHeight="1">
      <x:c r="A9" s="12" t="s">
        <x:v>391</x:v>
      </x:c>
      <x:c r="B9" s="12" t="s">
        <x:v>392</x:v>
      </x:c>
      <x:c r="C9" s="12" t="s">
        <x:v>393</x:v>
      </x:c>
    </x:row>
    <x:row r="10" ht="15" customHeight="1">
      <x:c r="A10" s="12"/>
      <x:c r="B10" s="12"/>
      <x:c r="C10" s="12"/>
    </x:row>
    <x:row r="11" ht="15" customHeight="1">
      <x:c r="A11" s="10" t="s">
        <x:v>394</x:v>
      </x:c>
      <x:c r="B11" s="10" t="s">
        <x:v>395</x:v>
      </x:c>
      <x:c r="C11" s="10" t="s">
        <x:v>396</x:v>
      </x:c>
    </x:row>
    <x:row r="12" ht="15" customHeight="1">
      <x:c r="A12" s="12" t="s">
        <x:v>397</x:v>
      </x:c>
      <x:c r="B12" s="12" t="s">
        <x:v>398</x:v>
      </x:c>
      <x:c r="C12" s="12" t="s">
        <x:v>399</x:v>
      </x:c>
    </x:row>
    <x:row r="13" ht="15" customHeight="1">
      <x:c r="A13" s="12" t="s">
        <x:v>400</x:v>
      </x:c>
      <x:c r="B13" s="12" t="s">
        <x:v>401</x:v>
      </x:c>
      <x:c r="C13" s="12" t="s">
        <x:v>402</x:v>
      </x:c>
    </x:row>
    <x:row r="14" ht="15" customHeight="1">
      <x:c r="A14" s="12" t="s">
        <x:v>403</x:v>
      </x:c>
      <x:c r="B14" s="12" t="s">
        <x:v>404</x:v>
      </x:c>
      <x:c r="C14" s="12" t="s">
        <x:v>405</x:v>
      </x:c>
    </x:row>
    <x:row r="15" ht="15" customHeight="1">
      <x:c r="A15" s="12" t="s">
        <x:v>406</x:v>
      </x:c>
      <x:c r="B15" s="12" t="s">
        <x:v>407</x:v>
      </x:c>
      <x:c r="C15" s="12" t="s">
        <x:v>408</x:v>
      </x:c>
    </x:row>
  </x:sheetData>
  <x:pageMargins left="0.7" right="0.7" top="0.75" bottom="0.75" header="0.3" footer="0.3"/>
</x:worksheet>
</file>